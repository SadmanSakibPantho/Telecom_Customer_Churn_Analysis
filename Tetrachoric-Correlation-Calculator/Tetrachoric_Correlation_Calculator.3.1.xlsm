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drawings/drawing3.xml" ContentType="application/vnd.openxmlformats-officedocument.drawing+xml"/>
  <Override PartName="/xl/activeX/activeX6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13_ncr:1_{D32CB3F4-158B-4BA5-A9EA-B4B60DF77B9A}" xr6:coauthVersionLast="47" xr6:coauthVersionMax="47" xr10:uidLastSave="{00000000-0000-0000-0000-000000000000}"/>
  <bookViews>
    <workbookView xWindow="1152" yWindow="900" windowWidth="11220" windowHeight="12060" xr2:uid="{00000000-000D-0000-FFFF-FFFF00000000}"/>
  </bookViews>
  <sheets>
    <sheet name="Tetrachoric Calculator" sheetId="1" r:id="rId1"/>
    <sheet name="Data Conversion" sheetId="2" r:id="rId2"/>
    <sheet name="Sample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66" i="1" l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7" i="1"/>
  <c r="K21" i="2" l="1"/>
  <c r="K20" i="2"/>
  <c r="J21" i="2"/>
  <c r="J20" i="2"/>
  <c r="I8" i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J8" i="1"/>
  <c r="J9" i="1"/>
  <c r="I9" i="1"/>
</calcChain>
</file>

<file path=xl/sharedStrings.xml><?xml version="1.0" encoding="utf-8"?>
<sst xmlns="http://schemas.openxmlformats.org/spreadsheetml/2006/main" count="65" uniqueCount="50">
  <si>
    <t>X</t>
  </si>
  <si>
    <t>Y</t>
  </si>
  <si>
    <t>Observation</t>
  </si>
  <si>
    <t>High/True</t>
  </si>
  <si>
    <t>Low/False</t>
  </si>
  <si>
    <t>A</t>
  </si>
  <si>
    <t>B</t>
  </si>
  <si>
    <t>C</t>
  </si>
  <si>
    <t>D</t>
  </si>
  <si>
    <t>To calculate the tetrachoric directly on cell totals, enter those totals in the outlined cells to the left, following the cell definitions shown at the right.</t>
  </si>
  <si>
    <t xml:space="preserve">Tetrachoric correlation = </t>
  </si>
  <si>
    <t>p =</t>
  </si>
  <si>
    <t>Tetrachoric Correlation Calculator</t>
  </si>
  <si>
    <t>Developed by Jeffrey S. Kane, Ph.D., Professional Statistical Services</t>
  </si>
  <si>
    <r>
      <t>Directions</t>
    </r>
    <r>
      <rPr>
        <b/>
        <sz val="12"/>
        <color rgb="FF0070C0"/>
        <rFont val="Arial"/>
        <family val="2"/>
      </rPr>
      <t xml:space="preserve">: </t>
    </r>
    <r>
      <rPr>
        <sz val="12"/>
        <color rgb="FF0070C0"/>
        <rFont val="Arial"/>
        <family val="2"/>
      </rPr>
      <t>Enter your individual observations on the 2 variables in Columns X and Y, below. Enter only values of 1 (Low or False) or 2 (High or True) as individual observation values. You may also enter cell totals in the four red-outlined cells at the top of the X and Y columns. Your N should be at least 40. You can dichotomize continous data on in the Data Conversion tab.</t>
    </r>
  </si>
  <si>
    <t>Convert your continuous or interval scaled data to dichotomous using this worksheet.</t>
  </si>
  <si>
    <t>Directions:</t>
  </si>
  <si>
    <t>1. Enter your data in the X and Y columns below.</t>
  </si>
  <si>
    <t>2. Decide on the cutpoint at which you want to dichotomize  the data for each variable, and enter them in the boxes the right.</t>
  </si>
  <si>
    <t>3 . Click the "Dichotomize" button to perform the dichotomization.</t>
  </si>
  <si>
    <t>4. Inspect the frequency distribution of the resulting cross-tabulated cells.</t>
  </si>
  <si>
    <t>5. If you are satisfied with the distributions of the dichotomized variables, click the "Transfer to Calculator" button. This will</t>
  </si>
  <si>
    <t>transfer your dichotomized data to the data columns of the Tetrachoric Calculator. You may then go that worksheet and run</t>
  </si>
  <si>
    <t>the correlation.</t>
  </si>
  <si>
    <t>times as you wish.</t>
  </si>
  <si>
    <t>6. If you are not satisfied with the results of the dichotomization, you may change the cutpoints and redo the process as many</t>
  </si>
  <si>
    <t>Your Raw Data</t>
  </si>
  <si>
    <t>Cut Points</t>
  </si>
  <si>
    <t xml:space="preserve">X: </t>
  </si>
  <si>
    <t xml:space="preserve">Y: </t>
  </si>
  <si>
    <t>Dichotomized Data</t>
  </si>
  <si>
    <t>Results of Dichotomization</t>
  </si>
  <si>
    <t>High</t>
  </si>
  <si>
    <t>Low</t>
  </si>
  <si>
    <t>Standard error =</t>
  </si>
  <si>
    <t>computing tetrachoric correlation from its original Fortran code into an SPSS macro. Several others havethe</t>
  </si>
  <si>
    <t xml:space="preserve">Saranga Komanduri, whose Visual Basic-like code was very well done. I modified it to work completely </t>
  </si>
  <si>
    <t xml:space="preserve">Note: To the best of my knowledge, back in 1997 I was the first to translate Morton Brown's AS 116 algorithm for </t>
  </si>
  <si>
    <t>used that effort as the basis for porting the algorithm to other source code types. Among these was</t>
  </si>
  <si>
    <t>within Excel with no external routines, and it is the backend of this attempt to make tetrachoric correlation</t>
  </si>
  <si>
    <t>more easily accessible to researchers and other statistics users. I would also call the reader's attention</t>
  </si>
  <si>
    <t xml:space="preserve">to some more recent advances in computing this statistic reported by Bonett &amp; Price (2005) in the </t>
  </si>
  <si>
    <t>Journal of Educational and Behavioral Statistics.</t>
  </si>
  <si>
    <t>Values at or above this will be considered High:</t>
  </si>
  <si>
    <t>Sample Data Set</t>
  </si>
  <si>
    <t>The sample data set below is provided to enable you to try out the data conversion process.</t>
  </si>
  <si>
    <t>Sample Raw Data</t>
  </si>
  <si>
    <t>Case #</t>
  </si>
  <si>
    <t xml:space="preserve">Simply click the green button to copy the two columns of data below to the X and Y columns </t>
  </si>
  <si>
    <t>in the Data Conversion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</si>
</sst>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b/>
      <i/>
      <sz val="12"/>
      <color theme="1"/>
      <name val="Arial"/>
      <family val="2"/>
    </font>
    <font>
      <b/>
      <sz val="14"/>
      <color theme="1"/>
      <name val="Arial"/>
      <family val="2"/>
    </font>
    <font>
      <sz val="11"/>
      <color rgb="FF0070C0"/>
      <name val="Arial"/>
      <family val="2"/>
    </font>
    <font>
      <sz val="12"/>
      <color rgb="FF0070C0"/>
      <name val="Arial"/>
      <family val="2"/>
    </font>
    <font>
      <b/>
      <sz val="12"/>
      <color rgb="FF0070C0"/>
      <name val="Arial"/>
      <family val="2"/>
    </font>
    <font>
      <b/>
      <u/>
      <sz val="12"/>
      <color rgb="FF0070C0"/>
      <name val="Arial"/>
      <family val="2"/>
    </font>
    <font>
      <b/>
      <sz val="12"/>
      <name val="Arial"/>
      <family val="2"/>
    </font>
    <font>
      <b/>
      <sz val="14"/>
      <color rgb="FF0070C0"/>
      <name val="Arial"/>
      <family val="2"/>
    </font>
    <font>
      <i/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 style="medium">
        <color auto="1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Border="1" applyAlignment="1">
      <alignment vertical="top" wrapText="1"/>
    </xf>
    <xf numFmtId="0" fontId="5" fillId="0" borderId="0" xfId="0" applyFont="1" applyAlignment="1">
      <alignment horizontal="right"/>
    </xf>
    <xf numFmtId="0" fontId="7" fillId="0" borderId="0" xfId="0" applyFont="1"/>
    <xf numFmtId="0" fontId="9" fillId="0" borderId="0" xfId="0" applyFont="1"/>
    <xf numFmtId="0" fontId="0" fillId="0" borderId="12" xfId="0" applyBorder="1" applyAlignment="1" applyProtection="1">
      <alignment horizontal="center"/>
      <protection locked="0"/>
    </xf>
    <xf numFmtId="0" fontId="2" fillId="0" borderId="0" xfId="0" applyFont="1" applyAlignment="1">
      <alignment horizontal="right"/>
    </xf>
    <xf numFmtId="0" fontId="2" fillId="0" borderId="14" xfId="0" applyFont="1" applyBorder="1" applyAlignment="1">
      <alignment horizontal="center"/>
    </xf>
    <xf numFmtId="0" fontId="1" fillId="2" borderId="11" xfId="0" applyFont="1" applyFill="1" applyBorder="1"/>
    <xf numFmtId="0" fontId="2" fillId="0" borderId="14" xfId="0" applyFont="1" applyBorder="1" applyAlignment="1">
      <alignment horizontal="center"/>
    </xf>
    <xf numFmtId="0" fontId="8" fillId="0" borderId="0" xfId="0" applyFont="1"/>
    <xf numFmtId="0" fontId="12" fillId="0" borderId="0" xfId="0" applyFont="1" applyAlignment="1"/>
    <xf numFmtId="1" fontId="4" fillId="0" borderId="7" xfId="0" applyNumberFormat="1" applyFont="1" applyBorder="1" applyAlignment="1">
      <alignment horizontal="center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1" fillId="0" borderId="11" xfId="0" applyFont="1" applyBorder="1"/>
    <xf numFmtId="0" fontId="2" fillId="0" borderId="20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4" fillId="0" borderId="0" xfId="0" applyFont="1" applyAlignment="1" applyProtection="1">
      <alignment horizontal="center"/>
    </xf>
    <xf numFmtId="0" fontId="4" fillId="2" borderId="14" xfId="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" fillId="2" borderId="11" xfId="0" applyNumberFormat="1" applyFont="1" applyFill="1" applyBorder="1"/>
    <xf numFmtId="0" fontId="2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left" wrapText="1"/>
    </xf>
    <xf numFmtId="0" fontId="2" fillId="0" borderId="8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0" xfId="0" applyFont="1" applyBorder="1" applyAlignment="1">
      <alignment horizontal="left" vertical="top" wrapText="1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1" fillId="0" borderId="1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4" xfId="0" applyFont="1" applyBorder="1" applyAlignment="1">
      <alignment horizontal="center"/>
    </xf>
    <xf numFmtId="0" fontId="4" fillId="0" borderId="0" xfId="0" applyFont="1" applyAlignment="1">
      <alignment horizontal="left"/>
    </xf>
    <xf numFmtId="0" fontId="4" fillId="0" borderId="19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198120</xdr:colOff>
          <xdr:row>10</xdr:row>
          <xdr:rowOff>99060</xdr:rowOff>
        </xdr:from>
        <xdr:to>
          <xdr:col>6</xdr:col>
          <xdr:colOff>457200</xdr:colOff>
          <xdr:row>13</xdr:row>
          <xdr:rowOff>15240</xdr:rowOff>
        </xdr:to>
        <xdr:sp macro="" textlink="">
          <xdr:nvSpPr>
            <xdr:cNvPr id="1025" name="ComputeTetra_bt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6</xdr:row>
          <xdr:rowOff>38100</xdr:rowOff>
        </xdr:from>
        <xdr:to>
          <xdr:col>12</xdr:col>
          <xdr:colOff>518160</xdr:colOff>
          <xdr:row>7</xdr:row>
          <xdr:rowOff>160020</xdr:rowOff>
        </xdr:to>
        <xdr:sp macro="" textlink="">
          <xdr:nvSpPr>
            <xdr:cNvPr id="1029" name="Reset_bt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17</xdr:row>
          <xdr:rowOff>7620</xdr:rowOff>
        </xdr:from>
        <xdr:to>
          <xdr:col>6</xdr:col>
          <xdr:colOff>266700</xdr:colOff>
          <xdr:row>18</xdr:row>
          <xdr:rowOff>76200</xdr:rowOff>
        </xdr:to>
        <xdr:sp macro="" textlink="">
          <xdr:nvSpPr>
            <xdr:cNvPr id="2049" name="Dichotomize_bt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441960</xdr:colOff>
          <xdr:row>19</xdr:row>
          <xdr:rowOff>106680</xdr:rowOff>
        </xdr:from>
        <xdr:to>
          <xdr:col>6</xdr:col>
          <xdr:colOff>289560</xdr:colOff>
          <xdr:row>21</xdr:row>
          <xdr:rowOff>106680</xdr:rowOff>
        </xdr:to>
        <xdr:sp macro="" textlink="">
          <xdr:nvSpPr>
            <xdr:cNvPr id="2050" name="Transfer_bt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21</xdr:row>
          <xdr:rowOff>144780</xdr:rowOff>
        </xdr:from>
        <xdr:to>
          <xdr:col>9</xdr:col>
          <xdr:colOff>594360</xdr:colOff>
          <xdr:row>23</xdr:row>
          <xdr:rowOff>45720</xdr:rowOff>
        </xdr:to>
        <xdr:sp macro="" textlink="">
          <xdr:nvSpPr>
            <xdr:cNvPr id="2051" name="Reset_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6</xdr:row>
          <xdr:rowOff>175260</xdr:rowOff>
        </xdr:from>
        <xdr:to>
          <xdr:col>10</xdr:col>
          <xdr:colOff>289560</xdr:colOff>
          <xdr:row>9</xdr:row>
          <xdr:rowOff>30480</xdr:rowOff>
        </xdr:to>
        <xdr:sp macro="" textlink="">
          <xdr:nvSpPr>
            <xdr:cNvPr id="3073" name="Transfer_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control" Target="../activeX/activeX3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007"/>
  <sheetViews>
    <sheetView tabSelected="1" zoomScale="83" zoomScaleNormal="83" workbookViewId="0">
      <selection activeCell="C9" sqref="C9"/>
    </sheetView>
  </sheetViews>
  <sheetFormatPr defaultRowHeight="14.4" x14ac:dyDescent="0.3"/>
  <cols>
    <col min="1" max="1" width="14" customWidth="1"/>
    <col min="4" max="4" width="9.33203125" customWidth="1"/>
    <col min="5" max="5" width="11.6640625" customWidth="1"/>
    <col min="8" max="8" width="10.44140625" customWidth="1"/>
    <col min="9" max="9" width="9.88671875" customWidth="1"/>
    <col min="10" max="10" width="10.77734375" customWidth="1"/>
    <col min="11" max="11" width="7.6640625" bestFit="1" customWidth="1"/>
    <col min="12" max="12" width="9.77734375" customWidth="1"/>
  </cols>
  <sheetData>
    <row r="1" spans="1:13" ht="17.399999999999999" x14ac:dyDescent="0.3">
      <c r="D1" s="35" t="s">
        <v>12</v>
      </c>
      <c r="E1" s="35"/>
      <c r="F1" s="35"/>
      <c r="G1" s="35"/>
      <c r="H1" s="35"/>
    </row>
    <row r="2" spans="1:13" x14ac:dyDescent="0.3">
      <c r="C2" s="36" t="s">
        <v>13</v>
      </c>
      <c r="D2" s="36"/>
      <c r="E2" s="36"/>
      <c r="F2" s="36"/>
      <c r="G2" s="36"/>
      <c r="H2" s="36"/>
      <c r="I2" s="36"/>
    </row>
    <row r="4" spans="1:13" ht="45.6" customHeight="1" x14ac:dyDescent="0.3">
      <c r="A4" s="37" t="s">
        <v>14</v>
      </c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</row>
    <row r="5" spans="1:13" ht="15" thickBot="1" x14ac:dyDescent="0.35"/>
    <row r="6" spans="1:13" ht="16.2" customHeight="1" thickBot="1" x14ac:dyDescent="0.35">
      <c r="A6" s="1" t="s">
        <v>2</v>
      </c>
      <c r="B6" s="1" t="s">
        <v>0</v>
      </c>
      <c r="C6" s="1" t="s">
        <v>1</v>
      </c>
      <c r="D6" s="42" t="s">
        <v>9</v>
      </c>
      <c r="E6" s="42"/>
      <c r="G6" s="4" t="s">
        <v>5</v>
      </c>
      <c r="H6" s="7" t="s">
        <v>6</v>
      </c>
      <c r="I6" s="40" t="s">
        <v>0</v>
      </c>
      <c r="J6" s="41"/>
    </row>
    <row r="7" spans="1:13" ht="19.2" customHeight="1" thickBot="1" x14ac:dyDescent="0.35">
      <c r="A7" s="10">
        <f>IF(COUNT(B7:C7) =2,1,"")</f>
        <v>1</v>
      </c>
      <c r="B7" s="15">
        <v>669</v>
      </c>
      <c r="C7" s="15">
        <v>1200</v>
      </c>
      <c r="D7" s="42"/>
      <c r="E7" s="42"/>
      <c r="G7" s="8" t="s">
        <v>7</v>
      </c>
      <c r="H7" s="9" t="s">
        <v>8</v>
      </c>
      <c r="I7" s="5" t="s">
        <v>3</v>
      </c>
      <c r="J7" s="3" t="s">
        <v>4</v>
      </c>
    </row>
    <row r="8" spans="1:13" ht="21.6" customHeight="1" x14ac:dyDescent="0.3">
      <c r="A8" s="10">
        <f>IF(COUNT(B8:C8) =2,ROWS(A8:A8)+7:7,"")</f>
        <v>2</v>
      </c>
      <c r="B8" s="23">
        <v>2649</v>
      </c>
      <c r="C8" s="23">
        <v>2071</v>
      </c>
      <c r="D8" s="42"/>
      <c r="E8" s="42"/>
      <c r="G8" s="38" t="s">
        <v>1</v>
      </c>
      <c r="H8" s="6" t="s">
        <v>3</v>
      </c>
      <c r="I8" s="22">
        <f>IF(COUNT($B$9:$C$1006)=0,$B$7,COUNTIFS($B$7:$B$1006,2,$C$7:$C$1006,2))</f>
        <v>669</v>
      </c>
      <c r="J8" s="22">
        <f>IF(COUNT($B$9:$C$1006)=0,$C$7,COUNTIFS($B$7:$B$1006,1,$C$7:$C$1006,2))</f>
        <v>1200</v>
      </c>
    </row>
    <row r="9" spans="1:13" ht="21" customHeight="1" thickBot="1" x14ac:dyDescent="0.35">
      <c r="A9" s="10" t="str">
        <f>IF(COUNT(B9:C9) =2,ROWS(A9:A9)+8:8,"")</f>
        <v/>
      </c>
      <c r="B9" s="24"/>
      <c r="C9" s="25"/>
      <c r="D9" s="42"/>
      <c r="E9" s="42"/>
      <c r="G9" s="39"/>
      <c r="H9" s="2" t="s">
        <v>4</v>
      </c>
      <c r="I9" s="22">
        <f>IF(COUNT($B$9:$C$1006)=0,$B$8,COUNTIFS($B$7:$B$1006,2,$C$7:$C$1006,1))</f>
        <v>2649</v>
      </c>
      <c r="J9" s="22">
        <f>IF(COUNT($B$9:$C$1006)=0,$C$8,COUNTIFS($B$7:$B$1006,1,$C$7:$C$1006,1))</f>
        <v>2071</v>
      </c>
    </row>
    <row r="10" spans="1:13" ht="16.2" customHeight="1" x14ac:dyDescent="0.3">
      <c r="A10" s="10" t="str">
        <f>IF(COUNT(B10:C10) =2,ROWS(A10:A10)+9:9,"")</f>
        <v/>
      </c>
      <c r="B10" s="24"/>
      <c r="C10" s="25"/>
      <c r="D10" s="42"/>
      <c r="E10" s="42"/>
    </row>
    <row r="11" spans="1:13" ht="11.4" customHeight="1" x14ac:dyDescent="0.3">
      <c r="A11" s="10" t="str">
        <f t="shared" ref="A11:A74" si="0">IF(COUNT(B11:C11) =2,ROWS(A11:A11)+10:10,"")</f>
        <v/>
      </c>
      <c r="B11" s="24"/>
      <c r="C11" s="25"/>
      <c r="D11" s="11"/>
      <c r="E11" s="11"/>
    </row>
    <row r="12" spans="1:13" ht="15.6" x14ac:dyDescent="0.3">
      <c r="A12" s="10" t="str">
        <f t="shared" si="0"/>
        <v/>
      </c>
      <c r="B12" s="24"/>
      <c r="C12" s="25"/>
      <c r="H12" s="34" t="s">
        <v>10</v>
      </c>
      <c r="I12" s="34"/>
      <c r="J12" s="34"/>
      <c r="K12" s="18">
        <v>-0.30230000000000001</v>
      </c>
    </row>
    <row r="13" spans="1:13" ht="15.6" x14ac:dyDescent="0.3">
      <c r="A13" s="10" t="str">
        <f t="shared" si="0"/>
        <v/>
      </c>
      <c r="B13" s="24"/>
      <c r="C13" s="25"/>
      <c r="J13" s="12" t="s">
        <v>11</v>
      </c>
      <c r="K13" s="33">
        <v>2</v>
      </c>
    </row>
    <row r="14" spans="1:13" ht="15.6" x14ac:dyDescent="0.3">
      <c r="A14" s="10" t="str">
        <f t="shared" si="0"/>
        <v/>
      </c>
      <c r="B14" s="24"/>
      <c r="C14" s="25"/>
      <c r="I14" s="34" t="s">
        <v>34</v>
      </c>
      <c r="J14" s="34"/>
      <c r="K14" s="26">
        <v>2.0500000000000001E-2</v>
      </c>
    </row>
    <row r="15" spans="1:13" x14ac:dyDescent="0.3">
      <c r="A15" s="10" t="str">
        <f t="shared" si="0"/>
        <v/>
      </c>
      <c r="B15" s="24"/>
      <c r="C15" s="25"/>
    </row>
    <row r="16" spans="1:13" x14ac:dyDescent="0.3">
      <c r="A16" s="10" t="str">
        <f t="shared" si="0"/>
        <v/>
      </c>
      <c r="B16" s="24"/>
      <c r="C16" s="25"/>
      <c r="D16" t="s">
        <v>37</v>
      </c>
    </row>
    <row r="17" spans="1:4" x14ac:dyDescent="0.3">
      <c r="A17" s="10" t="str">
        <f t="shared" si="0"/>
        <v/>
      </c>
      <c r="B17" s="24"/>
      <c r="C17" s="25"/>
      <c r="D17" t="s">
        <v>35</v>
      </c>
    </row>
    <row r="18" spans="1:4" x14ac:dyDescent="0.3">
      <c r="A18" s="10" t="str">
        <f t="shared" si="0"/>
        <v/>
      </c>
      <c r="B18" s="24"/>
      <c r="C18" s="25"/>
      <c r="D18" t="s">
        <v>38</v>
      </c>
    </row>
    <row r="19" spans="1:4" x14ac:dyDescent="0.3">
      <c r="A19" s="10" t="str">
        <f t="shared" si="0"/>
        <v/>
      </c>
      <c r="B19" s="24"/>
      <c r="C19" s="25"/>
      <c r="D19" t="s">
        <v>36</v>
      </c>
    </row>
    <row r="20" spans="1:4" x14ac:dyDescent="0.3">
      <c r="A20" s="10" t="str">
        <f t="shared" si="0"/>
        <v/>
      </c>
      <c r="B20" s="24"/>
      <c r="C20" s="25"/>
      <c r="D20" t="s">
        <v>39</v>
      </c>
    </row>
    <row r="21" spans="1:4" x14ac:dyDescent="0.3">
      <c r="A21" s="10" t="str">
        <f t="shared" si="0"/>
        <v/>
      </c>
      <c r="B21" s="24"/>
      <c r="C21" s="25"/>
      <c r="D21" t="s">
        <v>40</v>
      </c>
    </row>
    <row r="22" spans="1:4" x14ac:dyDescent="0.3">
      <c r="A22" s="10" t="str">
        <f t="shared" si="0"/>
        <v/>
      </c>
      <c r="B22" s="24"/>
      <c r="C22" s="25"/>
      <c r="D22" t="s">
        <v>41</v>
      </c>
    </row>
    <row r="23" spans="1:4" x14ac:dyDescent="0.3">
      <c r="A23" s="10" t="str">
        <f t="shared" si="0"/>
        <v/>
      </c>
      <c r="B23" s="24"/>
      <c r="C23" s="25"/>
      <c r="D23" t="s">
        <v>42</v>
      </c>
    </row>
    <row r="24" spans="1:4" x14ac:dyDescent="0.3">
      <c r="A24" s="10" t="str">
        <f t="shared" si="0"/>
        <v/>
      </c>
      <c r="B24" s="24"/>
      <c r="C24" s="25"/>
    </row>
    <row r="25" spans="1:4" x14ac:dyDescent="0.3">
      <c r="A25" s="10" t="str">
        <f t="shared" si="0"/>
        <v/>
      </c>
      <c r="B25" s="24"/>
      <c r="C25" s="25"/>
    </row>
    <row r="26" spans="1:4" x14ac:dyDescent="0.3">
      <c r="A26" s="10" t="str">
        <f t="shared" si="0"/>
        <v/>
      </c>
      <c r="B26" s="24"/>
      <c r="C26" s="25"/>
    </row>
    <row r="27" spans="1:4" x14ac:dyDescent="0.3">
      <c r="A27" s="10" t="str">
        <f t="shared" si="0"/>
        <v/>
      </c>
      <c r="B27" s="24"/>
      <c r="C27" s="25"/>
    </row>
    <row r="28" spans="1:4" x14ac:dyDescent="0.3">
      <c r="A28" s="10" t="str">
        <f t="shared" si="0"/>
        <v/>
      </c>
      <c r="B28" s="24"/>
      <c r="C28" s="25"/>
    </row>
    <row r="29" spans="1:4" x14ac:dyDescent="0.3">
      <c r="A29" s="10" t="str">
        <f t="shared" si="0"/>
        <v/>
      </c>
      <c r="B29" s="24"/>
      <c r="C29" s="25"/>
    </row>
    <row r="30" spans="1:4" x14ac:dyDescent="0.3">
      <c r="A30" s="10" t="str">
        <f t="shared" si="0"/>
        <v/>
      </c>
      <c r="B30" s="24"/>
      <c r="C30" s="25"/>
    </row>
    <row r="31" spans="1:4" x14ac:dyDescent="0.3">
      <c r="A31" s="10" t="str">
        <f t="shared" si="0"/>
        <v/>
      </c>
      <c r="B31" s="24"/>
      <c r="C31" s="25"/>
    </row>
    <row r="32" spans="1:4" x14ac:dyDescent="0.3">
      <c r="A32" s="10" t="str">
        <f t="shared" si="0"/>
        <v/>
      </c>
      <c r="B32" s="24"/>
      <c r="C32" s="25"/>
    </row>
    <row r="33" spans="1:3" x14ac:dyDescent="0.3">
      <c r="A33" s="10" t="str">
        <f t="shared" si="0"/>
        <v/>
      </c>
      <c r="B33" s="24"/>
      <c r="C33" s="25"/>
    </row>
    <row r="34" spans="1:3" x14ac:dyDescent="0.3">
      <c r="A34" s="10" t="str">
        <f t="shared" si="0"/>
        <v/>
      </c>
      <c r="B34" s="24"/>
      <c r="C34" s="25"/>
    </row>
    <row r="35" spans="1:3" x14ac:dyDescent="0.3">
      <c r="A35" s="10" t="str">
        <f t="shared" si="0"/>
        <v/>
      </c>
      <c r="B35" s="24"/>
      <c r="C35" s="25"/>
    </row>
    <row r="36" spans="1:3" x14ac:dyDescent="0.3">
      <c r="A36" s="10" t="str">
        <f t="shared" si="0"/>
        <v/>
      </c>
      <c r="B36" s="24"/>
      <c r="C36" s="25"/>
    </row>
    <row r="37" spans="1:3" x14ac:dyDescent="0.3">
      <c r="A37" s="10" t="str">
        <f t="shared" si="0"/>
        <v/>
      </c>
      <c r="B37" s="24"/>
      <c r="C37" s="25"/>
    </row>
    <row r="38" spans="1:3" x14ac:dyDescent="0.3">
      <c r="A38" s="10" t="str">
        <f t="shared" si="0"/>
        <v/>
      </c>
      <c r="B38" s="24"/>
      <c r="C38" s="25"/>
    </row>
    <row r="39" spans="1:3" x14ac:dyDescent="0.3">
      <c r="A39" s="10" t="str">
        <f t="shared" si="0"/>
        <v/>
      </c>
      <c r="B39" s="24"/>
      <c r="C39" s="25"/>
    </row>
    <row r="40" spans="1:3" x14ac:dyDescent="0.3">
      <c r="A40" s="10" t="str">
        <f t="shared" si="0"/>
        <v/>
      </c>
      <c r="B40" s="24"/>
      <c r="C40" s="25"/>
    </row>
    <row r="41" spans="1:3" x14ac:dyDescent="0.3">
      <c r="A41" s="10" t="str">
        <f t="shared" si="0"/>
        <v/>
      </c>
      <c r="B41" s="24"/>
      <c r="C41" s="25"/>
    </row>
    <row r="42" spans="1:3" x14ac:dyDescent="0.3">
      <c r="A42" s="10" t="str">
        <f t="shared" si="0"/>
        <v/>
      </c>
      <c r="B42" s="24"/>
      <c r="C42" s="25"/>
    </row>
    <row r="43" spans="1:3" x14ac:dyDescent="0.3">
      <c r="A43" s="10" t="str">
        <f t="shared" si="0"/>
        <v/>
      </c>
      <c r="B43" s="24"/>
      <c r="C43" s="25"/>
    </row>
    <row r="44" spans="1:3" x14ac:dyDescent="0.3">
      <c r="A44" s="10" t="str">
        <f t="shared" si="0"/>
        <v/>
      </c>
      <c r="B44" s="24"/>
      <c r="C44" s="25"/>
    </row>
    <row r="45" spans="1:3" x14ac:dyDescent="0.3">
      <c r="A45" s="10" t="str">
        <f t="shared" si="0"/>
        <v/>
      </c>
      <c r="B45" s="24"/>
      <c r="C45" s="25"/>
    </row>
    <row r="46" spans="1:3" x14ac:dyDescent="0.3">
      <c r="A46" s="10" t="str">
        <f t="shared" si="0"/>
        <v/>
      </c>
      <c r="B46" s="24"/>
      <c r="C46" s="25"/>
    </row>
    <row r="47" spans="1:3" x14ac:dyDescent="0.3">
      <c r="A47" s="10" t="str">
        <f t="shared" si="0"/>
        <v/>
      </c>
      <c r="B47" s="24"/>
      <c r="C47" s="25"/>
    </row>
    <row r="48" spans="1:3" x14ac:dyDescent="0.3">
      <c r="A48" s="10" t="str">
        <f t="shared" si="0"/>
        <v/>
      </c>
      <c r="B48" s="24"/>
      <c r="C48" s="25"/>
    </row>
    <row r="49" spans="1:3" x14ac:dyDescent="0.3">
      <c r="A49" s="10" t="str">
        <f t="shared" si="0"/>
        <v/>
      </c>
      <c r="B49" s="24"/>
      <c r="C49" s="25"/>
    </row>
    <row r="50" spans="1:3" x14ac:dyDescent="0.3">
      <c r="A50" s="10" t="str">
        <f t="shared" si="0"/>
        <v/>
      </c>
      <c r="B50" s="24"/>
      <c r="C50" s="25"/>
    </row>
    <row r="51" spans="1:3" x14ac:dyDescent="0.3">
      <c r="A51" s="10" t="str">
        <f t="shared" si="0"/>
        <v/>
      </c>
      <c r="B51" s="24"/>
      <c r="C51" s="25"/>
    </row>
    <row r="52" spans="1:3" x14ac:dyDescent="0.3">
      <c r="A52" s="10" t="str">
        <f t="shared" si="0"/>
        <v/>
      </c>
      <c r="B52" s="24"/>
      <c r="C52" s="25"/>
    </row>
    <row r="53" spans="1:3" x14ac:dyDescent="0.3">
      <c r="A53" s="10" t="str">
        <f t="shared" si="0"/>
        <v/>
      </c>
      <c r="B53" s="24"/>
      <c r="C53" s="25"/>
    </row>
    <row r="54" spans="1:3" x14ac:dyDescent="0.3">
      <c r="A54" s="10" t="str">
        <f t="shared" si="0"/>
        <v/>
      </c>
      <c r="B54" s="24"/>
      <c r="C54" s="25"/>
    </row>
    <row r="55" spans="1:3" x14ac:dyDescent="0.3">
      <c r="A55" s="10" t="str">
        <f t="shared" si="0"/>
        <v/>
      </c>
      <c r="B55" s="24"/>
      <c r="C55" s="25"/>
    </row>
    <row r="56" spans="1:3" x14ac:dyDescent="0.3">
      <c r="A56" s="10" t="str">
        <f t="shared" si="0"/>
        <v/>
      </c>
      <c r="B56" s="24"/>
      <c r="C56" s="25"/>
    </row>
    <row r="57" spans="1:3" x14ac:dyDescent="0.3">
      <c r="A57" s="10" t="str">
        <f t="shared" si="0"/>
        <v/>
      </c>
      <c r="B57" s="24"/>
      <c r="C57" s="25"/>
    </row>
    <row r="58" spans="1:3" x14ac:dyDescent="0.3">
      <c r="A58" s="10" t="str">
        <f t="shared" si="0"/>
        <v/>
      </c>
      <c r="B58" s="24"/>
      <c r="C58" s="25"/>
    </row>
    <row r="59" spans="1:3" x14ac:dyDescent="0.3">
      <c r="A59" s="10" t="str">
        <f t="shared" si="0"/>
        <v/>
      </c>
      <c r="B59" s="24"/>
      <c r="C59" s="25"/>
    </row>
    <row r="60" spans="1:3" x14ac:dyDescent="0.3">
      <c r="A60" s="10" t="str">
        <f t="shared" si="0"/>
        <v/>
      </c>
      <c r="B60" s="24"/>
      <c r="C60" s="25"/>
    </row>
    <row r="61" spans="1:3" x14ac:dyDescent="0.3">
      <c r="A61" s="10" t="str">
        <f t="shared" si="0"/>
        <v/>
      </c>
      <c r="B61" s="24"/>
      <c r="C61" s="25"/>
    </row>
    <row r="62" spans="1:3" x14ac:dyDescent="0.3">
      <c r="A62" s="10" t="str">
        <f t="shared" si="0"/>
        <v/>
      </c>
      <c r="B62" s="24"/>
      <c r="C62" s="25"/>
    </row>
    <row r="63" spans="1:3" x14ac:dyDescent="0.3">
      <c r="A63" s="10" t="str">
        <f t="shared" si="0"/>
        <v/>
      </c>
      <c r="B63" s="24"/>
      <c r="C63" s="25"/>
    </row>
    <row r="64" spans="1:3" x14ac:dyDescent="0.3">
      <c r="A64" s="10" t="str">
        <f t="shared" si="0"/>
        <v/>
      </c>
      <c r="B64" s="24"/>
      <c r="C64" s="25"/>
    </row>
    <row r="65" spans="1:3" x14ac:dyDescent="0.3">
      <c r="A65" s="10" t="str">
        <f t="shared" si="0"/>
        <v/>
      </c>
      <c r="B65" s="24"/>
      <c r="C65" s="25"/>
    </row>
    <row r="66" spans="1:3" x14ac:dyDescent="0.3">
      <c r="A66" s="10" t="str">
        <f t="shared" si="0"/>
        <v/>
      </c>
      <c r="B66" s="24"/>
      <c r="C66" s="25"/>
    </row>
    <row r="67" spans="1:3" x14ac:dyDescent="0.3">
      <c r="A67" s="10" t="str">
        <f t="shared" si="0"/>
        <v/>
      </c>
      <c r="B67" s="24"/>
      <c r="C67" s="25"/>
    </row>
    <row r="68" spans="1:3" x14ac:dyDescent="0.3">
      <c r="A68" s="10" t="str">
        <f t="shared" si="0"/>
        <v/>
      </c>
      <c r="B68" s="24"/>
      <c r="C68" s="25"/>
    </row>
    <row r="69" spans="1:3" x14ac:dyDescent="0.3">
      <c r="A69" s="10" t="str">
        <f t="shared" si="0"/>
        <v/>
      </c>
      <c r="B69" s="24"/>
      <c r="C69" s="25"/>
    </row>
    <row r="70" spans="1:3" x14ac:dyDescent="0.3">
      <c r="A70" s="10" t="str">
        <f t="shared" si="0"/>
        <v/>
      </c>
      <c r="B70" s="24"/>
      <c r="C70" s="25"/>
    </row>
    <row r="71" spans="1:3" x14ac:dyDescent="0.3">
      <c r="A71" s="10" t="str">
        <f t="shared" si="0"/>
        <v/>
      </c>
      <c r="B71" s="24"/>
      <c r="C71" s="25"/>
    </row>
    <row r="72" spans="1:3" x14ac:dyDescent="0.3">
      <c r="A72" s="10" t="str">
        <f t="shared" si="0"/>
        <v/>
      </c>
      <c r="B72" s="24"/>
      <c r="C72" s="25"/>
    </row>
    <row r="73" spans="1:3" x14ac:dyDescent="0.3">
      <c r="A73" s="10" t="str">
        <f t="shared" si="0"/>
        <v/>
      </c>
      <c r="B73" s="24"/>
      <c r="C73" s="25"/>
    </row>
    <row r="74" spans="1:3" x14ac:dyDescent="0.3">
      <c r="A74" s="10" t="str">
        <f t="shared" si="0"/>
        <v/>
      </c>
      <c r="B74" s="24"/>
      <c r="C74" s="25"/>
    </row>
    <row r="75" spans="1:3" x14ac:dyDescent="0.3">
      <c r="A75" s="10" t="str">
        <f t="shared" ref="A75:A138" si="1">IF(COUNT(B75:C75) =2,ROWS(A75:A75)+74:74,"")</f>
        <v/>
      </c>
      <c r="B75" s="24"/>
      <c r="C75" s="25"/>
    </row>
    <row r="76" spans="1:3" x14ac:dyDescent="0.3">
      <c r="A76" s="10" t="str">
        <f t="shared" si="1"/>
        <v/>
      </c>
      <c r="B76" s="24"/>
      <c r="C76" s="25"/>
    </row>
    <row r="77" spans="1:3" x14ac:dyDescent="0.3">
      <c r="A77" s="10" t="str">
        <f t="shared" si="1"/>
        <v/>
      </c>
      <c r="B77" s="24"/>
      <c r="C77" s="25"/>
    </row>
    <row r="78" spans="1:3" x14ac:dyDescent="0.3">
      <c r="A78" s="10" t="str">
        <f t="shared" si="1"/>
        <v/>
      </c>
      <c r="B78" s="24"/>
      <c r="C78" s="25"/>
    </row>
    <row r="79" spans="1:3" x14ac:dyDescent="0.3">
      <c r="A79" s="10" t="str">
        <f t="shared" si="1"/>
        <v/>
      </c>
      <c r="B79" s="24"/>
      <c r="C79" s="25"/>
    </row>
    <row r="80" spans="1:3" x14ac:dyDescent="0.3">
      <c r="A80" s="10" t="str">
        <f t="shared" si="1"/>
        <v/>
      </c>
      <c r="B80" s="24"/>
      <c r="C80" s="25"/>
    </row>
    <row r="81" spans="1:3" x14ac:dyDescent="0.3">
      <c r="A81" s="10" t="str">
        <f t="shared" si="1"/>
        <v/>
      </c>
      <c r="B81" s="24"/>
      <c r="C81" s="25"/>
    </row>
    <row r="82" spans="1:3" x14ac:dyDescent="0.3">
      <c r="A82" s="10" t="str">
        <f t="shared" si="1"/>
        <v/>
      </c>
      <c r="B82" s="24"/>
      <c r="C82" s="25"/>
    </row>
    <row r="83" spans="1:3" x14ac:dyDescent="0.3">
      <c r="A83" s="10" t="str">
        <f t="shared" si="1"/>
        <v/>
      </c>
      <c r="B83" s="24"/>
      <c r="C83" s="25"/>
    </row>
    <row r="84" spans="1:3" x14ac:dyDescent="0.3">
      <c r="A84" s="10" t="str">
        <f t="shared" si="1"/>
        <v/>
      </c>
      <c r="B84" s="24"/>
      <c r="C84" s="25"/>
    </row>
    <row r="85" spans="1:3" x14ac:dyDescent="0.3">
      <c r="A85" s="10" t="str">
        <f t="shared" si="1"/>
        <v/>
      </c>
      <c r="B85" s="24"/>
      <c r="C85" s="25"/>
    </row>
    <row r="86" spans="1:3" x14ac:dyDescent="0.3">
      <c r="A86" s="10" t="str">
        <f t="shared" si="1"/>
        <v/>
      </c>
      <c r="B86" s="24"/>
      <c r="C86" s="25"/>
    </row>
    <row r="87" spans="1:3" x14ac:dyDescent="0.3">
      <c r="A87" s="10" t="str">
        <f t="shared" si="1"/>
        <v/>
      </c>
      <c r="B87" s="24"/>
      <c r="C87" s="25"/>
    </row>
    <row r="88" spans="1:3" x14ac:dyDescent="0.3">
      <c r="A88" s="10" t="str">
        <f t="shared" si="1"/>
        <v/>
      </c>
      <c r="B88" s="24"/>
      <c r="C88" s="25"/>
    </row>
    <row r="89" spans="1:3" x14ac:dyDescent="0.3">
      <c r="A89" s="10" t="str">
        <f t="shared" si="1"/>
        <v/>
      </c>
      <c r="B89" s="24"/>
      <c r="C89" s="25"/>
    </row>
    <row r="90" spans="1:3" x14ac:dyDescent="0.3">
      <c r="A90" s="10" t="str">
        <f t="shared" si="1"/>
        <v/>
      </c>
      <c r="B90" s="24"/>
      <c r="C90" s="25"/>
    </row>
    <row r="91" spans="1:3" x14ac:dyDescent="0.3">
      <c r="A91" s="10" t="str">
        <f t="shared" si="1"/>
        <v/>
      </c>
      <c r="B91" s="24"/>
      <c r="C91" s="25"/>
    </row>
    <row r="92" spans="1:3" x14ac:dyDescent="0.3">
      <c r="A92" s="10" t="str">
        <f t="shared" si="1"/>
        <v/>
      </c>
      <c r="B92" s="24"/>
      <c r="C92" s="25"/>
    </row>
    <row r="93" spans="1:3" x14ac:dyDescent="0.3">
      <c r="A93" s="10" t="str">
        <f t="shared" si="1"/>
        <v/>
      </c>
      <c r="B93" s="24"/>
      <c r="C93" s="25"/>
    </row>
    <row r="94" spans="1:3" x14ac:dyDescent="0.3">
      <c r="A94" s="10" t="str">
        <f t="shared" si="1"/>
        <v/>
      </c>
      <c r="B94" s="24"/>
      <c r="C94" s="25"/>
    </row>
    <row r="95" spans="1:3" x14ac:dyDescent="0.3">
      <c r="A95" s="10" t="str">
        <f t="shared" si="1"/>
        <v/>
      </c>
      <c r="B95" s="24"/>
      <c r="C95" s="25"/>
    </row>
    <row r="96" spans="1:3" x14ac:dyDescent="0.3">
      <c r="A96" s="10" t="str">
        <f t="shared" si="1"/>
        <v/>
      </c>
      <c r="B96" s="24"/>
      <c r="C96" s="25"/>
    </row>
    <row r="97" spans="1:3" x14ac:dyDescent="0.3">
      <c r="A97" s="10" t="str">
        <f t="shared" si="1"/>
        <v/>
      </c>
      <c r="B97" s="24"/>
      <c r="C97" s="25"/>
    </row>
    <row r="98" spans="1:3" x14ac:dyDescent="0.3">
      <c r="A98" s="10" t="str">
        <f t="shared" si="1"/>
        <v/>
      </c>
      <c r="B98" s="24"/>
      <c r="C98" s="25"/>
    </row>
    <row r="99" spans="1:3" x14ac:dyDescent="0.3">
      <c r="A99" s="10" t="str">
        <f t="shared" si="1"/>
        <v/>
      </c>
      <c r="B99" s="24"/>
      <c r="C99" s="25"/>
    </row>
    <row r="100" spans="1:3" x14ac:dyDescent="0.3">
      <c r="A100" s="10" t="str">
        <f t="shared" si="1"/>
        <v/>
      </c>
      <c r="B100" s="24"/>
      <c r="C100" s="25"/>
    </row>
    <row r="101" spans="1:3" x14ac:dyDescent="0.3">
      <c r="A101" s="10" t="str">
        <f t="shared" si="1"/>
        <v/>
      </c>
      <c r="B101" s="24"/>
      <c r="C101" s="25"/>
    </row>
    <row r="102" spans="1:3" x14ac:dyDescent="0.3">
      <c r="A102" s="10" t="str">
        <f t="shared" si="1"/>
        <v/>
      </c>
      <c r="B102" s="24"/>
      <c r="C102" s="25"/>
    </row>
    <row r="103" spans="1:3" x14ac:dyDescent="0.3">
      <c r="A103" s="10" t="str">
        <f t="shared" si="1"/>
        <v/>
      </c>
      <c r="B103" s="24"/>
      <c r="C103" s="25"/>
    </row>
    <row r="104" spans="1:3" x14ac:dyDescent="0.3">
      <c r="A104" s="10" t="str">
        <f t="shared" si="1"/>
        <v/>
      </c>
      <c r="B104" s="24"/>
      <c r="C104" s="25"/>
    </row>
    <row r="105" spans="1:3" x14ac:dyDescent="0.3">
      <c r="A105" s="10" t="str">
        <f t="shared" si="1"/>
        <v/>
      </c>
      <c r="B105" s="24"/>
      <c r="C105" s="25"/>
    </row>
    <row r="106" spans="1:3" x14ac:dyDescent="0.3">
      <c r="A106" s="10" t="str">
        <f t="shared" si="1"/>
        <v/>
      </c>
      <c r="B106" s="24"/>
      <c r="C106" s="25"/>
    </row>
    <row r="107" spans="1:3" x14ac:dyDescent="0.3">
      <c r="A107" s="10" t="str">
        <f t="shared" si="1"/>
        <v/>
      </c>
      <c r="B107" s="24"/>
      <c r="C107" s="25"/>
    </row>
    <row r="108" spans="1:3" x14ac:dyDescent="0.3">
      <c r="A108" s="10" t="str">
        <f t="shared" si="1"/>
        <v/>
      </c>
      <c r="B108" s="24"/>
      <c r="C108" s="25"/>
    </row>
    <row r="109" spans="1:3" x14ac:dyDescent="0.3">
      <c r="A109" s="10" t="str">
        <f t="shared" si="1"/>
        <v/>
      </c>
      <c r="B109" s="24"/>
      <c r="C109" s="25"/>
    </row>
    <row r="110" spans="1:3" x14ac:dyDescent="0.3">
      <c r="A110" s="10" t="str">
        <f t="shared" si="1"/>
        <v/>
      </c>
      <c r="B110" s="24"/>
      <c r="C110" s="25"/>
    </row>
    <row r="111" spans="1:3" x14ac:dyDescent="0.3">
      <c r="A111" s="10" t="str">
        <f t="shared" si="1"/>
        <v/>
      </c>
      <c r="B111" s="24"/>
      <c r="C111" s="25"/>
    </row>
    <row r="112" spans="1:3" x14ac:dyDescent="0.3">
      <c r="A112" s="10" t="str">
        <f t="shared" si="1"/>
        <v/>
      </c>
      <c r="B112" s="24"/>
      <c r="C112" s="25"/>
    </row>
    <row r="113" spans="1:3" x14ac:dyDescent="0.3">
      <c r="A113" s="10" t="str">
        <f t="shared" si="1"/>
        <v/>
      </c>
      <c r="B113" s="24"/>
      <c r="C113" s="25"/>
    </row>
    <row r="114" spans="1:3" x14ac:dyDescent="0.3">
      <c r="A114" s="10" t="str">
        <f t="shared" si="1"/>
        <v/>
      </c>
      <c r="B114" s="24"/>
      <c r="C114" s="25"/>
    </row>
    <row r="115" spans="1:3" x14ac:dyDescent="0.3">
      <c r="A115" s="10" t="str">
        <f t="shared" si="1"/>
        <v/>
      </c>
      <c r="B115" s="24"/>
      <c r="C115" s="25"/>
    </row>
    <row r="116" spans="1:3" x14ac:dyDescent="0.3">
      <c r="A116" s="10" t="str">
        <f t="shared" si="1"/>
        <v/>
      </c>
      <c r="B116" s="24"/>
      <c r="C116" s="25"/>
    </row>
    <row r="117" spans="1:3" x14ac:dyDescent="0.3">
      <c r="A117" s="10" t="str">
        <f t="shared" si="1"/>
        <v/>
      </c>
      <c r="B117" s="24"/>
      <c r="C117" s="25"/>
    </row>
    <row r="118" spans="1:3" x14ac:dyDescent="0.3">
      <c r="A118" s="10" t="str">
        <f t="shared" si="1"/>
        <v/>
      </c>
      <c r="B118" s="24"/>
      <c r="C118" s="25"/>
    </row>
    <row r="119" spans="1:3" x14ac:dyDescent="0.3">
      <c r="A119" s="10" t="str">
        <f t="shared" si="1"/>
        <v/>
      </c>
      <c r="B119" s="24"/>
      <c r="C119" s="25"/>
    </row>
    <row r="120" spans="1:3" x14ac:dyDescent="0.3">
      <c r="A120" s="10" t="str">
        <f t="shared" si="1"/>
        <v/>
      </c>
      <c r="B120" s="24"/>
      <c r="C120" s="25"/>
    </row>
    <row r="121" spans="1:3" x14ac:dyDescent="0.3">
      <c r="A121" s="10" t="str">
        <f t="shared" si="1"/>
        <v/>
      </c>
      <c r="B121" s="24"/>
      <c r="C121" s="25"/>
    </row>
    <row r="122" spans="1:3" x14ac:dyDescent="0.3">
      <c r="A122" s="10" t="str">
        <f t="shared" si="1"/>
        <v/>
      </c>
      <c r="B122" s="24"/>
      <c r="C122" s="25"/>
    </row>
    <row r="123" spans="1:3" x14ac:dyDescent="0.3">
      <c r="A123" s="10" t="str">
        <f t="shared" si="1"/>
        <v/>
      </c>
      <c r="B123" s="24"/>
      <c r="C123" s="25"/>
    </row>
    <row r="124" spans="1:3" x14ac:dyDescent="0.3">
      <c r="A124" s="10" t="str">
        <f t="shared" si="1"/>
        <v/>
      </c>
      <c r="B124" s="24"/>
      <c r="C124" s="25"/>
    </row>
    <row r="125" spans="1:3" x14ac:dyDescent="0.3">
      <c r="A125" s="10" t="str">
        <f t="shared" si="1"/>
        <v/>
      </c>
      <c r="B125" s="24"/>
      <c r="C125" s="25"/>
    </row>
    <row r="126" spans="1:3" x14ac:dyDescent="0.3">
      <c r="A126" s="10" t="str">
        <f t="shared" si="1"/>
        <v/>
      </c>
      <c r="B126" s="24"/>
      <c r="C126" s="25"/>
    </row>
    <row r="127" spans="1:3" x14ac:dyDescent="0.3">
      <c r="A127" s="10" t="str">
        <f t="shared" si="1"/>
        <v/>
      </c>
      <c r="B127" s="24"/>
      <c r="C127" s="25"/>
    </row>
    <row r="128" spans="1:3" x14ac:dyDescent="0.3">
      <c r="A128" s="10" t="str">
        <f t="shared" si="1"/>
        <v/>
      </c>
      <c r="B128" s="24"/>
      <c r="C128" s="25"/>
    </row>
    <row r="129" spans="1:3" x14ac:dyDescent="0.3">
      <c r="A129" s="10" t="str">
        <f t="shared" si="1"/>
        <v/>
      </c>
      <c r="B129" s="24"/>
      <c r="C129" s="25"/>
    </row>
    <row r="130" spans="1:3" x14ac:dyDescent="0.3">
      <c r="A130" s="10" t="str">
        <f t="shared" si="1"/>
        <v/>
      </c>
      <c r="B130" s="24"/>
      <c r="C130" s="25"/>
    </row>
    <row r="131" spans="1:3" x14ac:dyDescent="0.3">
      <c r="A131" s="10" t="str">
        <f t="shared" si="1"/>
        <v/>
      </c>
      <c r="B131" s="24"/>
      <c r="C131" s="25"/>
    </row>
    <row r="132" spans="1:3" x14ac:dyDescent="0.3">
      <c r="A132" s="10" t="str">
        <f t="shared" si="1"/>
        <v/>
      </c>
      <c r="B132" s="24"/>
      <c r="C132" s="25"/>
    </row>
    <row r="133" spans="1:3" x14ac:dyDescent="0.3">
      <c r="A133" s="10" t="str">
        <f t="shared" si="1"/>
        <v/>
      </c>
      <c r="B133" s="24"/>
      <c r="C133" s="25"/>
    </row>
    <row r="134" spans="1:3" x14ac:dyDescent="0.3">
      <c r="A134" s="10" t="str">
        <f t="shared" si="1"/>
        <v/>
      </c>
      <c r="B134" s="24"/>
      <c r="C134" s="25"/>
    </row>
    <row r="135" spans="1:3" x14ac:dyDescent="0.3">
      <c r="A135" s="10" t="str">
        <f t="shared" si="1"/>
        <v/>
      </c>
      <c r="B135" s="24"/>
      <c r="C135" s="25"/>
    </row>
    <row r="136" spans="1:3" x14ac:dyDescent="0.3">
      <c r="A136" s="10" t="str">
        <f t="shared" si="1"/>
        <v/>
      </c>
      <c r="B136" s="24"/>
      <c r="C136" s="25"/>
    </row>
    <row r="137" spans="1:3" x14ac:dyDescent="0.3">
      <c r="A137" s="10" t="str">
        <f t="shared" si="1"/>
        <v/>
      </c>
      <c r="B137" s="24"/>
      <c r="C137" s="25"/>
    </row>
    <row r="138" spans="1:3" x14ac:dyDescent="0.3">
      <c r="A138" s="10" t="str">
        <f t="shared" si="1"/>
        <v/>
      </c>
      <c r="B138" s="24"/>
      <c r="C138" s="25"/>
    </row>
    <row r="139" spans="1:3" x14ac:dyDescent="0.3">
      <c r="A139" s="10" t="str">
        <f t="shared" ref="A139:A202" si="2">IF(COUNT(B139:C139) =2,ROWS(A139:A139)+138:138,"")</f>
        <v/>
      </c>
      <c r="B139" s="24"/>
      <c r="C139" s="25"/>
    </row>
    <row r="140" spans="1:3" x14ac:dyDescent="0.3">
      <c r="A140" s="10" t="str">
        <f t="shared" si="2"/>
        <v/>
      </c>
      <c r="B140" s="24"/>
      <c r="C140" s="25"/>
    </row>
    <row r="141" spans="1:3" x14ac:dyDescent="0.3">
      <c r="A141" s="10" t="str">
        <f t="shared" si="2"/>
        <v/>
      </c>
      <c r="B141" s="24"/>
      <c r="C141" s="25"/>
    </row>
    <row r="142" spans="1:3" x14ac:dyDescent="0.3">
      <c r="A142" s="10" t="str">
        <f t="shared" si="2"/>
        <v/>
      </c>
      <c r="B142" s="24"/>
      <c r="C142" s="25"/>
    </row>
    <row r="143" spans="1:3" x14ac:dyDescent="0.3">
      <c r="A143" s="10" t="str">
        <f t="shared" si="2"/>
        <v/>
      </c>
      <c r="B143" s="24"/>
      <c r="C143" s="25"/>
    </row>
    <row r="144" spans="1:3" x14ac:dyDescent="0.3">
      <c r="A144" s="10" t="str">
        <f t="shared" si="2"/>
        <v/>
      </c>
      <c r="B144" s="24"/>
      <c r="C144" s="25"/>
    </row>
    <row r="145" spans="1:3" x14ac:dyDescent="0.3">
      <c r="A145" s="10" t="str">
        <f t="shared" si="2"/>
        <v/>
      </c>
      <c r="B145" s="24"/>
      <c r="C145" s="25"/>
    </row>
    <row r="146" spans="1:3" x14ac:dyDescent="0.3">
      <c r="A146" s="10" t="str">
        <f t="shared" si="2"/>
        <v/>
      </c>
      <c r="B146" s="24"/>
      <c r="C146" s="25"/>
    </row>
    <row r="147" spans="1:3" x14ac:dyDescent="0.3">
      <c r="A147" s="10" t="str">
        <f t="shared" si="2"/>
        <v/>
      </c>
      <c r="B147" s="24"/>
      <c r="C147" s="25"/>
    </row>
    <row r="148" spans="1:3" x14ac:dyDescent="0.3">
      <c r="A148" s="10" t="str">
        <f t="shared" si="2"/>
        <v/>
      </c>
      <c r="B148" s="24"/>
      <c r="C148" s="25"/>
    </row>
    <row r="149" spans="1:3" x14ac:dyDescent="0.3">
      <c r="A149" s="10" t="str">
        <f t="shared" si="2"/>
        <v/>
      </c>
      <c r="B149" s="24"/>
      <c r="C149" s="25"/>
    </row>
    <row r="150" spans="1:3" x14ac:dyDescent="0.3">
      <c r="A150" s="10" t="str">
        <f t="shared" si="2"/>
        <v/>
      </c>
      <c r="B150" s="24"/>
      <c r="C150" s="25"/>
    </row>
    <row r="151" spans="1:3" x14ac:dyDescent="0.3">
      <c r="A151" s="10" t="str">
        <f t="shared" si="2"/>
        <v/>
      </c>
      <c r="B151" s="24"/>
      <c r="C151" s="25"/>
    </row>
    <row r="152" spans="1:3" x14ac:dyDescent="0.3">
      <c r="A152" s="10" t="str">
        <f t="shared" si="2"/>
        <v/>
      </c>
      <c r="B152" s="24"/>
      <c r="C152" s="25"/>
    </row>
    <row r="153" spans="1:3" x14ac:dyDescent="0.3">
      <c r="A153" s="10" t="str">
        <f t="shared" si="2"/>
        <v/>
      </c>
      <c r="B153" s="24"/>
      <c r="C153" s="25"/>
    </row>
    <row r="154" spans="1:3" x14ac:dyDescent="0.3">
      <c r="A154" s="10" t="str">
        <f t="shared" si="2"/>
        <v/>
      </c>
      <c r="B154" s="24"/>
      <c r="C154" s="25"/>
    </row>
    <row r="155" spans="1:3" x14ac:dyDescent="0.3">
      <c r="A155" s="10" t="str">
        <f t="shared" si="2"/>
        <v/>
      </c>
      <c r="B155" s="24"/>
      <c r="C155" s="25"/>
    </row>
    <row r="156" spans="1:3" x14ac:dyDescent="0.3">
      <c r="A156" s="10" t="str">
        <f t="shared" si="2"/>
        <v/>
      </c>
      <c r="B156" s="24"/>
      <c r="C156" s="25"/>
    </row>
    <row r="157" spans="1:3" x14ac:dyDescent="0.3">
      <c r="A157" s="10" t="str">
        <f t="shared" si="2"/>
        <v/>
      </c>
      <c r="B157" s="24"/>
      <c r="C157" s="25"/>
    </row>
    <row r="158" spans="1:3" x14ac:dyDescent="0.3">
      <c r="A158" s="10" t="str">
        <f t="shared" si="2"/>
        <v/>
      </c>
      <c r="B158" s="24"/>
      <c r="C158" s="25"/>
    </row>
    <row r="159" spans="1:3" x14ac:dyDescent="0.3">
      <c r="A159" s="10" t="str">
        <f t="shared" si="2"/>
        <v/>
      </c>
      <c r="B159" s="24"/>
      <c r="C159" s="25"/>
    </row>
    <row r="160" spans="1:3" x14ac:dyDescent="0.3">
      <c r="A160" s="10" t="str">
        <f t="shared" si="2"/>
        <v/>
      </c>
      <c r="B160" s="24"/>
      <c r="C160" s="25"/>
    </row>
    <row r="161" spans="1:3" x14ac:dyDescent="0.3">
      <c r="A161" s="10" t="str">
        <f t="shared" si="2"/>
        <v/>
      </c>
      <c r="B161" s="24"/>
      <c r="C161" s="25"/>
    </row>
    <row r="162" spans="1:3" x14ac:dyDescent="0.3">
      <c r="A162" s="10" t="str">
        <f t="shared" si="2"/>
        <v/>
      </c>
      <c r="B162" s="24"/>
      <c r="C162" s="25"/>
    </row>
    <row r="163" spans="1:3" x14ac:dyDescent="0.3">
      <c r="A163" s="10" t="str">
        <f t="shared" si="2"/>
        <v/>
      </c>
      <c r="B163" s="24"/>
      <c r="C163" s="25"/>
    </row>
    <row r="164" spans="1:3" x14ac:dyDescent="0.3">
      <c r="A164" s="10" t="str">
        <f t="shared" si="2"/>
        <v/>
      </c>
      <c r="B164" s="24"/>
      <c r="C164" s="25"/>
    </row>
    <row r="165" spans="1:3" x14ac:dyDescent="0.3">
      <c r="A165" s="10" t="str">
        <f t="shared" si="2"/>
        <v/>
      </c>
      <c r="B165" s="24"/>
      <c r="C165" s="25"/>
    </row>
    <row r="166" spans="1:3" x14ac:dyDescent="0.3">
      <c r="A166" s="10" t="str">
        <f t="shared" si="2"/>
        <v/>
      </c>
      <c r="B166" s="24"/>
      <c r="C166" s="25"/>
    </row>
    <row r="167" spans="1:3" x14ac:dyDescent="0.3">
      <c r="A167" s="10" t="str">
        <f t="shared" si="2"/>
        <v/>
      </c>
      <c r="B167" s="24"/>
      <c r="C167" s="25"/>
    </row>
    <row r="168" spans="1:3" x14ac:dyDescent="0.3">
      <c r="A168" s="10" t="str">
        <f t="shared" si="2"/>
        <v/>
      </c>
      <c r="B168" s="24"/>
      <c r="C168" s="25"/>
    </row>
    <row r="169" spans="1:3" x14ac:dyDescent="0.3">
      <c r="A169" s="10" t="str">
        <f t="shared" si="2"/>
        <v/>
      </c>
      <c r="B169" s="24"/>
      <c r="C169" s="25"/>
    </row>
    <row r="170" spans="1:3" x14ac:dyDescent="0.3">
      <c r="A170" s="10" t="str">
        <f t="shared" si="2"/>
        <v/>
      </c>
      <c r="B170" s="24"/>
      <c r="C170" s="25"/>
    </row>
    <row r="171" spans="1:3" x14ac:dyDescent="0.3">
      <c r="A171" s="10" t="str">
        <f t="shared" si="2"/>
        <v/>
      </c>
      <c r="B171" s="24"/>
      <c r="C171" s="25"/>
    </row>
    <row r="172" spans="1:3" x14ac:dyDescent="0.3">
      <c r="A172" s="10" t="str">
        <f t="shared" si="2"/>
        <v/>
      </c>
      <c r="B172" s="24"/>
      <c r="C172" s="25"/>
    </row>
    <row r="173" spans="1:3" x14ac:dyDescent="0.3">
      <c r="A173" s="10" t="str">
        <f t="shared" si="2"/>
        <v/>
      </c>
      <c r="B173" s="24"/>
      <c r="C173" s="25"/>
    </row>
    <row r="174" spans="1:3" x14ac:dyDescent="0.3">
      <c r="A174" s="10" t="str">
        <f t="shared" si="2"/>
        <v/>
      </c>
      <c r="B174" s="24"/>
      <c r="C174" s="25"/>
    </row>
    <row r="175" spans="1:3" x14ac:dyDescent="0.3">
      <c r="A175" s="10" t="str">
        <f t="shared" si="2"/>
        <v/>
      </c>
      <c r="B175" s="24"/>
      <c r="C175" s="25"/>
    </row>
    <row r="176" spans="1:3" x14ac:dyDescent="0.3">
      <c r="A176" s="10" t="str">
        <f t="shared" si="2"/>
        <v/>
      </c>
      <c r="B176" s="24"/>
      <c r="C176" s="25"/>
    </row>
    <row r="177" spans="1:3" x14ac:dyDescent="0.3">
      <c r="A177" s="10" t="str">
        <f t="shared" si="2"/>
        <v/>
      </c>
      <c r="B177" s="24"/>
      <c r="C177" s="25"/>
    </row>
    <row r="178" spans="1:3" x14ac:dyDescent="0.3">
      <c r="A178" s="10" t="str">
        <f t="shared" si="2"/>
        <v/>
      </c>
      <c r="B178" s="24"/>
      <c r="C178" s="25"/>
    </row>
    <row r="179" spans="1:3" x14ac:dyDescent="0.3">
      <c r="A179" s="10" t="str">
        <f t="shared" si="2"/>
        <v/>
      </c>
      <c r="B179" s="24"/>
      <c r="C179" s="25"/>
    </row>
    <row r="180" spans="1:3" x14ac:dyDescent="0.3">
      <c r="A180" s="10" t="str">
        <f t="shared" si="2"/>
        <v/>
      </c>
      <c r="B180" s="24"/>
      <c r="C180" s="25"/>
    </row>
    <row r="181" spans="1:3" x14ac:dyDescent="0.3">
      <c r="A181" s="10" t="str">
        <f t="shared" si="2"/>
        <v/>
      </c>
      <c r="B181" s="24"/>
      <c r="C181" s="25"/>
    </row>
    <row r="182" spans="1:3" x14ac:dyDescent="0.3">
      <c r="A182" s="10" t="str">
        <f t="shared" si="2"/>
        <v/>
      </c>
      <c r="B182" s="24"/>
      <c r="C182" s="25"/>
    </row>
    <row r="183" spans="1:3" x14ac:dyDescent="0.3">
      <c r="A183" s="10" t="str">
        <f t="shared" si="2"/>
        <v/>
      </c>
      <c r="B183" s="24"/>
      <c r="C183" s="25"/>
    </row>
    <row r="184" spans="1:3" x14ac:dyDescent="0.3">
      <c r="A184" s="10" t="str">
        <f t="shared" si="2"/>
        <v/>
      </c>
      <c r="B184" s="24"/>
      <c r="C184" s="25"/>
    </row>
    <row r="185" spans="1:3" x14ac:dyDescent="0.3">
      <c r="A185" s="10" t="str">
        <f t="shared" si="2"/>
        <v/>
      </c>
      <c r="B185" s="24"/>
      <c r="C185" s="25"/>
    </row>
    <row r="186" spans="1:3" x14ac:dyDescent="0.3">
      <c r="A186" s="10" t="str">
        <f t="shared" si="2"/>
        <v/>
      </c>
      <c r="B186" s="24"/>
      <c r="C186" s="25"/>
    </row>
    <row r="187" spans="1:3" x14ac:dyDescent="0.3">
      <c r="A187" s="10" t="str">
        <f t="shared" si="2"/>
        <v/>
      </c>
      <c r="B187" s="24"/>
      <c r="C187" s="25"/>
    </row>
    <row r="188" spans="1:3" x14ac:dyDescent="0.3">
      <c r="A188" s="10" t="str">
        <f t="shared" si="2"/>
        <v/>
      </c>
      <c r="B188" s="24"/>
      <c r="C188" s="25"/>
    </row>
    <row r="189" spans="1:3" x14ac:dyDescent="0.3">
      <c r="A189" s="10" t="str">
        <f t="shared" si="2"/>
        <v/>
      </c>
      <c r="B189" s="24"/>
      <c r="C189" s="25"/>
    </row>
    <row r="190" spans="1:3" x14ac:dyDescent="0.3">
      <c r="A190" s="10" t="str">
        <f t="shared" si="2"/>
        <v/>
      </c>
      <c r="B190" s="24"/>
      <c r="C190" s="25"/>
    </row>
    <row r="191" spans="1:3" x14ac:dyDescent="0.3">
      <c r="A191" s="10" t="str">
        <f t="shared" si="2"/>
        <v/>
      </c>
      <c r="B191" s="24"/>
      <c r="C191" s="25"/>
    </row>
    <row r="192" spans="1:3" x14ac:dyDescent="0.3">
      <c r="A192" s="10" t="str">
        <f t="shared" si="2"/>
        <v/>
      </c>
      <c r="B192" s="24"/>
      <c r="C192" s="25"/>
    </row>
    <row r="193" spans="1:3" x14ac:dyDescent="0.3">
      <c r="A193" s="10" t="str">
        <f t="shared" si="2"/>
        <v/>
      </c>
      <c r="B193" s="24"/>
      <c r="C193" s="25"/>
    </row>
    <row r="194" spans="1:3" x14ac:dyDescent="0.3">
      <c r="A194" s="10" t="str">
        <f t="shared" si="2"/>
        <v/>
      </c>
      <c r="B194" s="24"/>
      <c r="C194" s="25"/>
    </row>
    <row r="195" spans="1:3" x14ac:dyDescent="0.3">
      <c r="A195" s="10" t="str">
        <f t="shared" si="2"/>
        <v/>
      </c>
      <c r="B195" s="24"/>
      <c r="C195" s="25"/>
    </row>
    <row r="196" spans="1:3" x14ac:dyDescent="0.3">
      <c r="A196" s="10" t="str">
        <f t="shared" si="2"/>
        <v/>
      </c>
      <c r="B196" s="24"/>
      <c r="C196" s="25"/>
    </row>
    <row r="197" spans="1:3" x14ac:dyDescent="0.3">
      <c r="A197" s="10" t="str">
        <f t="shared" si="2"/>
        <v/>
      </c>
      <c r="B197" s="24"/>
      <c r="C197" s="25"/>
    </row>
    <row r="198" spans="1:3" x14ac:dyDescent="0.3">
      <c r="A198" s="10" t="str">
        <f t="shared" si="2"/>
        <v/>
      </c>
      <c r="B198" s="24"/>
      <c r="C198" s="25"/>
    </row>
    <row r="199" spans="1:3" x14ac:dyDescent="0.3">
      <c r="A199" s="10" t="str">
        <f t="shared" si="2"/>
        <v/>
      </c>
      <c r="B199" s="24"/>
      <c r="C199" s="25"/>
    </row>
    <row r="200" spans="1:3" x14ac:dyDescent="0.3">
      <c r="A200" s="10" t="str">
        <f t="shared" si="2"/>
        <v/>
      </c>
      <c r="B200" s="24"/>
      <c r="C200" s="25"/>
    </row>
    <row r="201" spans="1:3" x14ac:dyDescent="0.3">
      <c r="A201" s="10" t="str">
        <f t="shared" si="2"/>
        <v/>
      </c>
      <c r="B201" s="24"/>
      <c r="C201" s="25"/>
    </row>
    <row r="202" spans="1:3" x14ac:dyDescent="0.3">
      <c r="A202" s="10" t="str">
        <f t="shared" si="2"/>
        <v/>
      </c>
      <c r="B202" s="24"/>
      <c r="C202" s="25"/>
    </row>
    <row r="203" spans="1:3" x14ac:dyDescent="0.3">
      <c r="A203" s="10" t="str">
        <f t="shared" ref="A203:A266" si="3">IF(COUNT(B203:C203) =2,ROWS(A203:A203)+202:202,"")</f>
        <v/>
      </c>
      <c r="B203" s="24"/>
      <c r="C203" s="25"/>
    </row>
    <row r="204" spans="1:3" x14ac:dyDescent="0.3">
      <c r="A204" s="10" t="str">
        <f t="shared" si="3"/>
        <v/>
      </c>
      <c r="B204" s="24"/>
      <c r="C204" s="25"/>
    </row>
    <row r="205" spans="1:3" x14ac:dyDescent="0.3">
      <c r="A205" s="10" t="str">
        <f t="shared" si="3"/>
        <v/>
      </c>
      <c r="B205" s="24"/>
      <c r="C205" s="25"/>
    </row>
    <row r="206" spans="1:3" x14ac:dyDescent="0.3">
      <c r="A206" s="10" t="str">
        <f t="shared" si="3"/>
        <v/>
      </c>
      <c r="B206" s="24"/>
      <c r="C206" s="25"/>
    </row>
    <row r="207" spans="1:3" x14ac:dyDescent="0.3">
      <c r="A207" s="10" t="str">
        <f t="shared" si="3"/>
        <v/>
      </c>
      <c r="B207" s="24"/>
      <c r="C207" s="25"/>
    </row>
    <row r="208" spans="1:3" x14ac:dyDescent="0.3">
      <c r="A208" s="10" t="str">
        <f t="shared" si="3"/>
        <v/>
      </c>
      <c r="B208" s="24"/>
      <c r="C208" s="25"/>
    </row>
    <row r="209" spans="1:3" x14ac:dyDescent="0.3">
      <c r="A209" s="10" t="str">
        <f t="shared" si="3"/>
        <v/>
      </c>
      <c r="B209" s="24"/>
      <c r="C209" s="25"/>
    </row>
    <row r="210" spans="1:3" x14ac:dyDescent="0.3">
      <c r="A210" s="10" t="str">
        <f t="shared" si="3"/>
        <v/>
      </c>
      <c r="B210" s="24"/>
      <c r="C210" s="25"/>
    </row>
    <row r="211" spans="1:3" x14ac:dyDescent="0.3">
      <c r="A211" s="10" t="str">
        <f t="shared" si="3"/>
        <v/>
      </c>
      <c r="B211" s="24"/>
      <c r="C211" s="25"/>
    </row>
    <row r="212" spans="1:3" x14ac:dyDescent="0.3">
      <c r="A212" s="10" t="str">
        <f t="shared" si="3"/>
        <v/>
      </c>
      <c r="B212" s="24"/>
      <c r="C212" s="25"/>
    </row>
    <row r="213" spans="1:3" x14ac:dyDescent="0.3">
      <c r="A213" s="10" t="str">
        <f t="shared" si="3"/>
        <v/>
      </c>
      <c r="B213" s="24"/>
      <c r="C213" s="25"/>
    </row>
    <row r="214" spans="1:3" x14ac:dyDescent="0.3">
      <c r="A214" s="10" t="str">
        <f t="shared" si="3"/>
        <v/>
      </c>
      <c r="B214" s="24"/>
      <c r="C214" s="25"/>
    </row>
    <row r="215" spans="1:3" x14ac:dyDescent="0.3">
      <c r="A215" s="10" t="str">
        <f t="shared" si="3"/>
        <v/>
      </c>
      <c r="B215" s="24"/>
      <c r="C215" s="25"/>
    </row>
    <row r="216" spans="1:3" x14ac:dyDescent="0.3">
      <c r="A216" s="10" t="str">
        <f t="shared" si="3"/>
        <v/>
      </c>
      <c r="B216" s="24"/>
      <c r="C216" s="25"/>
    </row>
    <row r="217" spans="1:3" x14ac:dyDescent="0.3">
      <c r="A217" s="10" t="str">
        <f t="shared" si="3"/>
        <v/>
      </c>
      <c r="B217" s="24"/>
      <c r="C217" s="25"/>
    </row>
    <row r="218" spans="1:3" x14ac:dyDescent="0.3">
      <c r="A218" s="10" t="str">
        <f t="shared" si="3"/>
        <v/>
      </c>
      <c r="B218" s="24"/>
      <c r="C218" s="25"/>
    </row>
    <row r="219" spans="1:3" x14ac:dyDescent="0.3">
      <c r="A219" s="10" t="str">
        <f t="shared" si="3"/>
        <v/>
      </c>
      <c r="B219" s="24"/>
      <c r="C219" s="25"/>
    </row>
    <row r="220" spans="1:3" x14ac:dyDescent="0.3">
      <c r="A220" s="10" t="str">
        <f t="shared" si="3"/>
        <v/>
      </c>
      <c r="B220" s="24"/>
      <c r="C220" s="25"/>
    </row>
    <row r="221" spans="1:3" x14ac:dyDescent="0.3">
      <c r="A221" s="10" t="str">
        <f t="shared" si="3"/>
        <v/>
      </c>
      <c r="B221" s="24"/>
      <c r="C221" s="25"/>
    </row>
    <row r="222" spans="1:3" x14ac:dyDescent="0.3">
      <c r="A222" s="10" t="str">
        <f t="shared" si="3"/>
        <v/>
      </c>
      <c r="B222" s="24"/>
      <c r="C222" s="25"/>
    </row>
    <row r="223" spans="1:3" x14ac:dyDescent="0.3">
      <c r="A223" s="10" t="str">
        <f t="shared" si="3"/>
        <v/>
      </c>
      <c r="B223" s="24"/>
      <c r="C223" s="25"/>
    </row>
    <row r="224" spans="1:3" x14ac:dyDescent="0.3">
      <c r="A224" s="10" t="str">
        <f t="shared" si="3"/>
        <v/>
      </c>
      <c r="B224" s="24"/>
      <c r="C224" s="25"/>
    </row>
    <row r="225" spans="1:3" x14ac:dyDescent="0.3">
      <c r="A225" s="10" t="str">
        <f t="shared" si="3"/>
        <v/>
      </c>
      <c r="B225" s="24"/>
      <c r="C225" s="25"/>
    </row>
    <row r="226" spans="1:3" x14ac:dyDescent="0.3">
      <c r="A226" s="10" t="str">
        <f t="shared" si="3"/>
        <v/>
      </c>
      <c r="B226" s="24"/>
      <c r="C226" s="25"/>
    </row>
    <row r="227" spans="1:3" x14ac:dyDescent="0.3">
      <c r="A227" s="10" t="str">
        <f t="shared" si="3"/>
        <v/>
      </c>
      <c r="B227" s="24"/>
      <c r="C227" s="25"/>
    </row>
    <row r="228" spans="1:3" x14ac:dyDescent="0.3">
      <c r="A228" s="10" t="str">
        <f t="shared" si="3"/>
        <v/>
      </c>
      <c r="B228" s="24"/>
      <c r="C228" s="25"/>
    </row>
    <row r="229" spans="1:3" x14ac:dyDescent="0.3">
      <c r="A229" s="10" t="str">
        <f t="shared" si="3"/>
        <v/>
      </c>
      <c r="B229" s="24"/>
      <c r="C229" s="25"/>
    </row>
    <row r="230" spans="1:3" x14ac:dyDescent="0.3">
      <c r="A230" s="10" t="str">
        <f t="shared" si="3"/>
        <v/>
      </c>
      <c r="B230" s="24"/>
      <c r="C230" s="25"/>
    </row>
    <row r="231" spans="1:3" x14ac:dyDescent="0.3">
      <c r="A231" s="10" t="str">
        <f t="shared" si="3"/>
        <v/>
      </c>
      <c r="B231" s="24"/>
      <c r="C231" s="25"/>
    </row>
    <row r="232" spans="1:3" x14ac:dyDescent="0.3">
      <c r="A232" s="10" t="str">
        <f t="shared" si="3"/>
        <v/>
      </c>
      <c r="B232" s="24"/>
      <c r="C232" s="25"/>
    </row>
    <row r="233" spans="1:3" x14ac:dyDescent="0.3">
      <c r="A233" s="10" t="str">
        <f t="shared" si="3"/>
        <v/>
      </c>
      <c r="B233" s="24"/>
      <c r="C233" s="25"/>
    </row>
    <row r="234" spans="1:3" x14ac:dyDescent="0.3">
      <c r="A234" s="10" t="str">
        <f t="shared" si="3"/>
        <v/>
      </c>
      <c r="B234" s="24"/>
      <c r="C234" s="25"/>
    </row>
    <row r="235" spans="1:3" x14ac:dyDescent="0.3">
      <c r="A235" s="10" t="str">
        <f t="shared" si="3"/>
        <v/>
      </c>
      <c r="B235" s="24"/>
      <c r="C235" s="25"/>
    </row>
    <row r="236" spans="1:3" x14ac:dyDescent="0.3">
      <c r="A236" s="10" t="str">
        <f t="shared" si="3"/>
        <v/>
      </c>
      <c r="B236" s="24"/>
      <c r="C236" s="25"/>
    </row>
    <row r="237" spans="1:3" x14ac:dyDescent="0.3">
      <c r="A237" s="10" t="str">
        <f t="shared" si="3"/>
        <v/>
      </c>
      <c r="B237" s="24"/>
      <c r="C237" s="25"/>
    </row>
    <row r="238" spans="1:3" x14ac:dyDescent="0.3">
      <c r="A238" s="10" t="str">
        <f t="shared" si="3"/>
        <v/>
      </c>
      <c r="B238" s="24"/>
      <c r="C238" s="25"/>
    </row>
    <row r="239" spans="1:3" x14ac:dyDescent="0.3">
      <c r="A239" s="10" t="str">
        <f t="shared" si="3"/>
        <v/>
      </c>
      <c r="B239" s="24"/>
      <c r="C239" s="25"/>
    </row>
    <row r="240" spans="1:3" x14ac:dyDescent="0.3">
      <c r="A240" s="10" t="str">
        <f t="shared" si="3"/>
        <v/>
      </c>
      <c r="B240" s="24"/>
      <c r="C240" s="25"/>
    </row>
    <row r="241" spans="1:3" x14ac:dyDescent="0.3">
      <c r="A241" s="10" t="str">
        <f t="shared" si="3"/>
        <v/>
      </c>
      <c r="B241" s="24"/>
      <c r="C241" s="25"/>
    </row>
    <row r="242" spans="1:3" x14ac:dyDescent="0.3">
      <c r="A242" s="10" t="str">
        <f t="shared" si="3"/>
        <v/>
      </c>
      <c r="B242" s="24"/>
      <c r="C242" s="25"/>
    </row>
    <row r="243" spans="1:3" x14ac:dyDescent="0.3">
      <c r="A243" s="10" t="str">
        <f t="shared" si="3"/>
        <v/>
      </c>
      <c r="B243" s="24"/>
      <c r="C243" s="25"/>
    </row>
    <row r="244" spans="1:3" x14ac:dyDescent="0.3">
      <c r="A244" s="10" t="str">
        <f t="shared" si="3"/>
        <v/>
      </c>
      <c r="B244" s="24"/>
      <c r="C244" s="25"/>
    </row>
    <row r="245" spans="1:3" x14ac:dyDescent="0.3">
      <c r="A245" s="10" t="str">
        <f t="shared" si="3"/>
        <v/>
      </c>
      <c r="B245" s="24"/>
      <c r="C245" s="25"/>
    </row>
    <row r="246" spans="1:3" x14ac:dyDescent="0.3">
      <c r="A246" s="10" t="str">
        <f t="shared" si="3"/>
        <v/>
      </c>
      <c r="B246" s="24"/>
      <c r="C246" s="25"/>
    </row>
    <row r="247" spans="1:3" x14ac:dyDescent="0.3">
      <c r="A247" s="10" t="str">
        <f t="shared" si="3"/>
        <v/>
      </c>
      <c r="B247" s="24"/>
      <c r="C247" s="25"/>
    </row>
    <row r="248" spans="1:3" x14ac:dyDescent="0.3">
      <c r="A248" s="10" t="str">
        <f t="shared" si="3"/>
        <v/>
      </c>
      <c r="B248" s="24"/>
      <c r="C248" s="25"/>
    </row>
    <row r="249" spans="1:3" x14ac:dyDescent="0.3">
      <c r="A249" s="10" t="str">
        <f t="shared" si="3"/>
        <v/>
      </c>
      <c r="B249" s="24"/>
      <c r="C249" s="25"/>
    </row>
    <row r="250" spans="1:3" x14ac:dyDescent="0.3">
      <c r="A250" s="10" t="str">
        <f t="shared" si="3"/>
        <v/>
      </c>
      <c r="B250" s="24"/>
      <c r="C250" s="25"/>
    </row>
    <row r="251" spans="1:3" x14ac:dyDescent="0.3">
      <c r="A251" s="10" t="str">
        <f t="shared" si="3"/>
        <v/>
      </c>
      <c r="B251" s="24"/>
      <c r="C251" s="25"/>
    </row>
    <row r="252" spans="1:3" x14ac:dyDescent="0.3">
      <c r="A252" s="10" t="str">
        <f t="shared" si="3"/>
        <v/>
      </c>
      <c r="B252" s="24"/>
      <c r="C252" s="25"/>
    </row>
    <row r="253" spans="1:3" x14ac:dyDescent="0.3">
      <c r="A253" s="10" t="str">
        <f t="shared" si="3"/>
        <v/>
      </c>
      <c r="B253" s="24"/>
      <c r="C253" s="25"/>
    </row>
    <row r="254" spans="1:3" x14ac:dyDescent="0.3">
      <c r="A254" s="10" t="str">
        <f t="shared" si="3"/>
        <v/>
      </c>
      <c r="B254" s="24"/>
      <c r="C254" s="25"/>
    </row>
    <row r="255" spans="1:3" x14ac:dyDescent="0.3">
      <c r="A255" s="10" t="str">
        <f t="shared" si="3"/>
        <v/>
      </c>
      <c r="B255" s="24"/>
      <c r="C255" s="25"/>
    </row>
    <row r="256" spans="1:3" x14ac:dyDescent="0.3">
      <c r="A256" s="10" t="str">
        <f t="shared" si="3"/>
        <v/>
      </c>
      <c r="B256" s="24"/>
      <c r="C256" s="25"/>
    </row>
    <row r="257" spans="1:3" x14ac:dyDescent="0.3">
      <c r="A257" s="10" t="str">
        <f t="shared" si="3"/>
        <v/>
      </c>
      <c r="B257" s="24"/>
      <c r="C257" s="25"/>
    </row>
    <row r="258" spans="1:3" x14ac:dyDescent="0.3">
      <c r="A258" s="10" t="str">
        <f t="shared" si="3"/>
        <v/>
      </c>
      <c r="B258" s="24"/>
      <c r="C258" s="25"/>
    </row>
    <row r="259" spans="1:3" x14ac:dyDescent="0.3">
      <c r="A259" s="10" t="str">
        <f t="shared" si="3"/>
        <v/>
      </c>
      <c r="B259" s="24"/>
      <c r="C259" s="25"/>
    </row>
    <row r="260" spans="1:3" x14ac:dyDescent="0.3">
      <c r="A260" s="10" t="str">
        <f t="shared" si="3"/>
        <v/>
      </c>
      <c r="B260" s="24"/>
      <c r="C260" s="25"/>
    </row>
    <row r="261" spans="1:3" x14ac:dyDescent="0.3">
      <c r="A261" s="10" t="str">
        <f t="shared" si="3"/>
        <v/>
      </c>
      <c r="B261" s="24"/>
      <c r="C261" s="25"/>
    </row>
    <row r="262" spans="1:3" x14ac:dyDescent="0.3">
      <c r="A262" s="10" t="str">
        <f t="shared" si="3"/>
        <v/>
      </c>
      <c r="B262" s="24"/>
      <c r="C262" s="25"/>
    </row>
    <row r="263" spans="1:3" x14ac:dyDescent="0.3">
      <c r="A263" s="10" t="str">
        <f t="shared" si="3"/>
        <v/>
      </c>
      <c r="B263" s="24"/>
      <c r="C263" s="25"/>
    </row>
    <row r="264" spans="1:3" x14ac:dyDescent="0.3">
      <c r="A264" s="10" t="str">
        <f t="shared" si="3"/>
        <v/>
      </c>
      <c r="B264" s="24"/>
      <c r="C264" s="25"/>
    </row>
    <row r="265" spans="1:3" x14ac:dyDescent="0.3">
      <c r="A265" s="10" t="str">
        <f t="shared" si="3"/>
        <v/>
      </c>
      <c r="B265" s="24"/>
      <c r="C265" s="25"/>
    </row>
    <row r="266" spans="1:3" x14ac:dyDescent="0.3">
      <c r="A266" s="10" t="str">
        <f t="shared" si="3"/>
        <v/>
      </c>
      <c r="B266" s="24"/>
      <c r="C266" s="25"/>
    </row>
    <row r="267" spans="1:3" x14ac:dyDescent="0.3">
      <c r="A267" s="10" t="str">
        <f t="shared" ref="A267:A330" si="4">IF(COUNT(B267:C267) =2,ROWS(A267:A267)+266:266,"")</f>
        <v/>
      </c>
      <c r="B267" s="24"/>
      <c r="C267" s="25"/>
    </row>
    <row r="268" spans="1:3" x14ac:dyDescent="0.3">
      <c r="A268" s="10" t="str">
        <f t="shared" si="4"/>
        <v/>
      </c>
      <c r="B268" s="24"/>
      <c r="C268" s="25"/>
    </row>
    <row r="269" spans="1:3" x14ac:dyDescent="0.3">
      <c r="A269" s="10" t="str">
        <f t="shared" si="4"/>
        <v/>
      </c>
      <c r="B269" s="24"/>
      <c r="C269" s="25"/>
    </row>
    <row r="270" spans="1:3" x14ac:dyDescent="0.3">
      <c r="A270" s="10" t="str">
        <f t="shared" si="4"/>
        <v/>
      </c>
      <c r="B270" s="24"/>
      <c r="C270" s="25"/>
    </row>
    <row r="271" spans="1:3" x14ac:dyDescent="0.3">
      <c r="A271" s="10" t="str">
        <f t="shared" si="4"/>
        <v/>
      </c>
      <c r="B271" s="24"/>
      <c r="C271" s="25"/>
    </row>
    <row r="272" spans="1:3" x14ac:dyDescent="0.3">
      <c r="A272" s="10" t="str">
        <f t="shared" si="4"/>
        <v/>
      </c>
      <c r="B272" s="24"/>
      <c r="C272" s="25"/>
    </row>
    <row r="273" spans="1:3" x14ac:dyDescent="0.3">
      <c r="A273" s="10" t="str">
        <f t="shared" si="4"/>
        <v/>
      </c>
      <c r="B273" s="24"/>
      <c r="C273" s="25"/>
    </row>
    <row r="274" spans="1:3" x14ac:dyDescent="0.3">
      <c r="A274" s="10" t="str">
        <f t="shared" si="4"/>
        <v/>
      </c>
      <c r="B274" s="24"/>
      <c r="C274" s="25"/>
    </row>
    <row r="275" spans="1:3" x14ac:dyDescent="0.3">
      <c r="A275" s="10" t="str">
        <f t="shared" si="4"/>
        <v/>
      </c>
      <c r="B275" s="24"/>
      <c r="C275" s="25"/>
    </row>
    <row r="276" spans="1:3" x14ac:dyDescent="0.3">
      <c r="A276" s="10" t="str">
        <f t="shared" si="4"/>
        <v/>
      </c>
      <c r="B276" s="24"/>
      <c r="C276" s="25"/>
    </row>
    <row r="277" spans="1:3" x14ac:dyDescent="0.3">
      <c r="A277" s="10" t="str">
        <f t="shared" si="4"/>
        <v/>
      </c>
      <c r="B277" s="24"/>
      <c r="C277" s="25"/>
    </row>
    <row r="278" spans="1:3" x14ac:dyDescent="0.3">
      <c r="A278" s="10" t="str">
        <f t="shared" si="4"/>
        <v/>
      </c>
      <c r="B278" s="24"/>
      <c r="C278" s="25"/>
    </row>
    <row r="279" spans="1:3" x14ac:dyDescent="0.3">
      <c r="A279" s="10" t="str">
        <f t="shared" si="4"/>
        <v/>
      </c>
      <c r="B279" s="24"/>
      <c r="C279" s="25"/>
    </row>
    <row r="280" spans="1:3" x14ac:dyDescent="0.3">
      <c r="A280" s="10" t="str">
        <f t="shared" si="4"/>
        <v/>
      </c>
      <c r="B280" s="24"/>
      <c r="C280" s="25"/>
    </row>
    <row r="281" spans="1:3" x14ac:dyDescent="0.3">
      <c r="A281" s="10" t="str">
        <f t="shared" si="4"/>
        <v/>
      </c>
      <c r="B281" s="24"/>
      <c r="C281" s="25"/>
    </row>
    <row r="282" spans="1:3" x14ac:dyDescent="0.3">
      <c r="A282" s="10" t="str">
        <f t="shared" si="4"/>
        <v/>
      </c>
      <c r="B282" s="24"/>
      <c r="C282" s="25"/>
    </row>
    <row r="283" spans="1:3" x14ac:dyDescent="0.3">
      <c r="A283" s="10" t="str">
        <f t="shared" si="4"/>
        <v/>
      </c>
      <c r="B283" s="24"/>
      <c r="C283" s="25"/>
    </row>
    <row r="284" spans="1:3" x14ac:dyDescent="0.3">
      <c r="A284" s="10" t="str">
        <f t="shared" si="4"/>
        <v/>
      </c>
      <c r="B284" s="24"/>
      <c r="C284" s="25"/>
    </row>
    <row r="285" spans="1:3" x14ac:dyDescent="0.3">
      <c r="A285" s="10" t="str">
        <f t="shared" si="4"/>
        <v/>
      </c>
      <c r="B285" s="24"/>
      <c r="C285" s="25"/>
    </row>
    <row r="286" spans="1:3" x14ac:dyDescent="0.3">
      <c r="A286" s="10" t="str">
        <f t="shared" si="4"/>
        <v/>
      </c>
      <c r="B286" s="24"/>
      <c r="C286" s="25"/>
    </row>
    <row r="287" spans="1:3" x14ac:dyDescent="0.3">
      <c r="A287" s="10" t="str">
        <f t="shared" si="4"/>
        <v/>
      </c>
      <c r="B287" s="24"/>
      <c r="C287" s="25"/>
    </row>
    <row r="288" spans="1:3" x14ac:dyDescent="0.3">
      <c r="A288" s="10" t="str">
        <f t="shared" si="4"/>
        <v/>
      </c>
      <c r="B288" s="24"/>
      <c r="C288" s="25"/>
    </row>
    <row r="289" spans="1:3" x14ac:dyDescent="0.3">
      <c r="A289" s="10" t="str">
        <f t="shared" si="4"/>
        <v/>
      </c>
      <c r="B289" s="24"/>
      <c r="C289" s="25"/>
    </row>
    <row r="290" spans="1:3" x14ac:dyDescent="0.3">
      <c r="A290" s="10" t="str">
        <f t="shared" si="4"/>
        <v/>
      </c>
      <c r="B290" s="24"/>
      <c r="C290" s="25"/>
    </row>
    <row r="291" spans="1:3" x14ac:dyDescent="0.3">
      <c r="A291" s="10" t="str">
        <f t="shared" si="4"/>
        <v/>
      </c>
      <c r="B291" s="24"/>
      <c r="C291" s="25"/>
    </row>
    <row r="292" spans="1:3" x14ac:dyDescent="0.3">
      <c r="A292" s="10" t="str">
        <f t="shared" si="4"/>
        <v/>
      </c>
      <c r="B292" s="24"/>
      <c r="C292" s="25"/>
    </row>
    <row r="293" spans="1:3" x14ac:dyDescent="0.3">
      <c r="A293" s="10" t="str">
        <f t="shared" si="4"/>
        <v/>
      </c>
      <c r="B293" s="24"/>
      <c r="C293" s="25"/>
    </row>
    <row r="294" spans="1:3" x14ac:dyDescent="0.3">
      <c r="A294" s="10" t="str">
        <f t="shared" si="4"/>
        <v/>
      </c>
      <c r="B294" s="24"/>
      <c r="C294" s="25"/>
    </row>
    <row r="295" spans="1:3" x14ac:dyDescent="0.3">
      <c r="A295" s="10" t="str">
        <f t="shared" si="4"/>
        <v/>
      </c>
      <c r="B295" s="24"/>
      <c r="C295" s="25"/>
    </row>
    <row r="296" spans="1:3" x14ac:dyDescent="0.3">
      <c r="A296" s="10" t="str">
        <f t="shared" si="4"/>
        <v/>
      </c>
      <c r="B296" s="24"/>
      <c r="C296" s="25"/>
    </row>
    <row r="297" spans="1:3" x14ac:dyDescent="0.3">
      <c r="A297" s="10" t="str">
        <f t="shared" si="4"/>
        <v/>
      </c>
      <c r="B297" s="24"/>
      <c r="C297" s="25"/>
    </row>
    <row r="298" spans="1:3" x14ac:dyDescent="0.3">
      <c r="A298" s="10" t="str">
        <f t="shared" si="4"/>
        <v/>
      </c>
      <c r="B298" s="24"/>
      <c r="C298" s="25"/>
    </row>
    <row r="299" spans="1:3" x14ac:dyDescent="0.3">
      <c r="A299" s="10" t="str">
        <f t="shared" si="4"/>
        <v/>
      </c>
      <c r="B299" s="24"/>
      <c r="C299" s="25"/>
    </row>
    <row r="300" spans="1:3" x14ac:dyDescent="0.3">
      <c r="A300" s="10" t="str">
        <f t="shared" si="4"/>
        <v/>
      </c>
      <c r="B300" s="24"/>
      <c r="C300" s="25"/>
    </row>
    <row r="301" spans="1:3" x14ac:dyDescent="0.3">
      <c r="A301" s="10" t="str">
        <f t="shared" si="4"/>
        <v/>
      </c>
      <c r="B301" s="24"/>
      <c r="C301" s="25"/>
    </row>
    <row r="302" spans="1:3" x14ac:dyDescent="0.3">
      <c r="A302" s="10" t="str">
        <f t="shared" si="4"/>
        <v/>
      </c>
      <c r="B302" s="24"/>
      <c r="C302" s="25"/>
    </row>
    <row r="303" spans="1:3" x14ac:dyDescent="0.3">
      <c r="A303" s="10" t="str">
        <f t="shared" si="4"/>
        <v/>
      </c>
      <c r="B303" s="24"/>
      <c r="C303" s="25"/>
    </row>
    <row r="304" spans="1:3" x14ac:dyDescent="0.3">
      <c r="A304" s="10" t="str">
        <f t="shared" si="4"/>
        <v/>
      </c>
      <c r="B304" s="24"/>
      <c r="C304" s="25"/>
    </row>
    <row r="305" spans="1:3" x14ac:dyDescent="0.3">
      <c r="A305" s="10" t="str">
        <f t="shared" si="4"/>
        <v/>
      </c>
      <c r="B305" s="24"/>
      <c r="C305" s="25"/>
    </row>
    <row r="306" spans="1:3" x14ac:dyDescent="0.3">
      <c r="A306" s="10" t="str">
        <f t="shared" si="4"/>
        <v/>
      </c>
      <c r="B306" s="24"/>
      <c r="C306" s="25"/>
    </row>
    <row r="307" spans="1:3" x14ac:dyDescent="0.3">
      <c r="A307" s="10" t="str">
        <f t="shared" si="4"/>
        <v/>
      </c>
      <c r="B307" s="24"/>
      <c r="C307" s="25"/>
    </row>
    <row r="308" spans="1:3" x14ac:dyDescent="0.3">
      <c r="A308" s="10" t="str">
        <f t="shared" si="4"/>
        <v/>
      </c>
      <c r="B308" s="24"/>
      <c r="C308" s="25"/>
    </row>
    <row r="309" spans="1:3" x14ac:dyDescent="0.3">
      <c r="A309" s="10" t="str">
        <f t="shared" si="4"/>
        <v/>
      </c>
      <c r="B309" s="24"/>
      <c r="C309" s="25"/>
    </row>
    <row r="310" spans="1:3" x14ac:dyDescent="0.3">
      <c r="A310" s="10" t="str">
        <f t="shared" si="4"/>
        <v/>
      </c>
      <c r="B310" s="24"/>
      <c r="C310" s="25"/>
    </row>
    <row r="311" spans="1:3" x14ac:dyDescent="0.3">
      <c r="A311" s="10" t="str">
        <f t="shared" si="4"/>
        <v/>
      </c>
      <c r="B311" s="24"/>
      <c r="C311" s="25"/>
    </row>
    <row r="312" spans="1:3" x14ac:dyDescent="0.3">
      <c r="A312" s="10" t="str">
        <f t="shared" si="4"/>
        <v/>
      </c>
      <c r="B312" s="24"/>
      <c r="C312" s="25"/>
    </row>
    <row r="313" spans="1:3" x14ac:dyDescent="0.3">
      <c r="A313" s="10" t="str">
        <f t="shared" si="4"/>
        <v/>
      </c>
      <c r="B313" s="24"/>
      <c r="C313" s="25"/>
    </row>
    <row r="314" spans="1:3" x14ac:dyDescent="0.3">
      <c r="A314" s="10" t="str">
        <f t="shared" si="4"/>
        <v/>
      </c>
      <c r="B314" s="24"/>
      <c r="C314" s="25"/>
    </row>
    <row r="315" spans="1:3" x14ac:dyDescent="0.3">
      <c r="A315" s="10" t="str">
        <f t="shared" si="4"/>
        <v/>
      </c>
      <c r="B315" s="24"/>
      <c r="C315" s="25"/>
    </row>
    <row r="316" spans="1:3" x14ac:dyDescent="0.3">
      <c r="A316" s="10" t="str">
        <f t="shared" si="4"/>
        <v/>
      </c>
      <c r="B316" s="24"/>
      <c r="C316" s="25"/>
    </row>
    <row r="317" spans="1:3" x14ac:dyDescent="0.3">
      <c r="A317" s="10" t="str">
        <f t="shared" si="4"/>
        <v/>
      </c>
      <c r="B317" s="24"/>
      <c r="C317" s="25"/>
    </row>
    <row r="318" spans="1:3" x14ac:dyDescent="0.3">
      <c r="A318" s="10" t="str">
        <f t="shared" si="4"/>
        <v/>
      </c>
      <c r="B318" s="24"/>
      <c r="C318" s="25"/>
    </row>
    <row r="319" spans="1:3" x14ac:dyDescent="0.3">
      <c r="A319" s="10" t="str">
        <f t="shared" si="4"/>
        <v/>
      </c>
      <c r="B319" s="24"/>
      <c r="C319" s="25"/>
    </row>
    <row r="320" spans="1:3" x14ac:dyDescent="0.3">
      <c r="A320" s="10" t="str">
        <f t="shared" si="4"/>
        <v/>
      </c>
      <c r="B320" s="24"/>
      <c r="C320" s="25"/>
    </row>
    <row r="321" spans="1:3" x14ac:dyDescent="0.3">
      <c r="A321" s="10" t="str">
        <f t="shared" si="4"/>
        <v/>
      </c>
      <c r="B321" s="24"/>
      <c r="C321" s="25"/>
    </row>
    <row r="322" spans="1:3" x14ac:dyDescent="0.3">
      <c r="A322" s="10" t="str">
        <f t="shared" si="4"/>
        <v/>
      </c>
      <c r="B322" s="24"/>
      <c r="C322" s="25"/>
    </row>
    <row r="323" spans="1:3" x14ac:dyDescent="0.3">
      <c r="A323" s="10" t="str">
        <f t="shared" si="4"/>
        <v/>
      </c>
      <c r="B323" s="24"/>
      <c r="C323" s="25"/>
    </row>
    <row r="324" spans="1:3" x14ac:dyDescent="0.3">
      <c r="A324" s="10" t="str">
        <f t="shared" si="4"/>
        <v/>
      </c>
      <c r="B324" s="24"/>
      <c r="C324" s="25"/>
    </row>
    <row r="325" spans="1:3" x14ac:dyDescent="0.3">
      <c r="A325" s="10" t="str">
        <f t="shared" si="4"/>
        <v/>
      </c>
      <c r="B325" s="24"/>
      <c r="C325" s="25"/>
    </row>
    <row r="326" spans="1:3" x14ac:dyDescent="0.3">
      <c r="A326" s="10" t="str">
        <f t="shared" si="4"/>
        <v/>
      </c>
      <c r="B326" s="24"/>
      <c r="C326" s="25"/>
    </row>
    <row r="327" spans="1:3" x14ac:dyDescent="0.3">
      <c r="A327" s="10" t="str">
        <f t="shared" si="4"/>
        <v/>
      </c>
      <c r="B327" s="24"/>
      <c r="C327" s="25"/>
    </row>
    <row r="328" spans="1:3" x14ac:dyDescent="0.3">
      <c r="A328" s="10" t="str">
        <f t="shared" si="4"/>
        <v/>
      </c>
      <c r="B328" s="24"/>
      <c r="C328" s="25"/>
    </row>
    <row r="329" spans="1:3" x14ac:dyDescent="0.3">
      <c r="A329" s="10" t="str">
        <f t="shared" si="4"/>
        <v/>
      </c>
      <c r="B329" s="24"/>
      <c r="C329" s="25"/>
    </row>
    <row r="330" spans="1:3" x14ac:dyDescent="0.3">
      <c r="A330" s="10" t="str">
        <f t="shared" si="4"/>
        <v/>
      </c>
      <c r="B330" s="24"/>
      <c r="C330" s="25"/>
    </row>
    <row r="331" spans="1:3" x14ac:dyDescent="0.3">
      <c r="A331" s="10" t="str">
        <f t="shared" ref="A331:A394" si="5">IF(COUNT(B331:C331) =2,ROWS(A331:A331)+330:330,"")</f>
        <v/>
      </c>
      <c r="B331" s="24"/>
      <c r="C331" s="25"/>
    </row>
    <row r="332" spans="1:3" x14ac:dyDescent="0.3">
      <c r="A332" s="10" t="str">
        <f t="shared" si="5"/>
        <v/>
      </c>
      <c r="B332" s="24"/>
      <c r="C332" s="25"/>
    </row>
    <row r="333" spans="1:3" x14ac:dyDescent="0.3">
      <c r="A333" s="10" t="str">
        <f t="shared" si="5"/>
        <v/>
      </c>
      <c r="B333" s="24"/>
      <c r="C333" s="25"/>
    </row>
    <row r="334" spans="1:3" x14ac:dyDescent="0.3">
      <c r="A334" s="10" t="str">
        <f t="shared" si="5"/>
        <v/>
      </c>
      <c r="B334" s="24"/>
      <c r="C334" s="25"/>
    </row>
    <row r="335" spans="1:3" x14ac:dyDescent="0.3">
      <c r="A335" s="10" t="str">
        <f t="shared" si="5"/>
        <v/>
      </c>
      <c r="B335" s="24"/>
      <c r="C335" s="25"/>
    </row>
    <row r="336" spans="1:3" x14ac:dyDescent="0.3">
      <c r="A336" s="10" t="str">
        <f t="shared" si="5"/>
        <v/>
      </c>
      <c r="B336" s="24"/>
      <c r="C336" s="25"/>
    </row>
    <row r="337" spans="1:3" x14ac:dyDescent="0.3">
      <c r="A337" s="10" t="str">
        <f t="shared" si="5"/>
        <v/>
      </c>
      <c r="B337" s="24"/>
      <c r="C337" s="25"/>
    </row>
    <row r="338" spans="1:3" x14ac:dyDescent="0.3">
      <c r="A338" s="10" t="str">
        <f t="shared" si="5"/>
        <v/>
      </c>
      <c r="B338" s="24"/>
      <c r="C338" s="25"/>
    </row>
    <row r="339" spans="1:3" x14ac:dyDescent="0.3">
      <c r="A339" s="10" t="str">
        <f t="shared" si="5"/>
        <v/>
      </c>
      <c r="B339" s="24"/>
      <c r="C339" s="25"/>
    </row>
    <row r="340" spans="1:3" x14ac:dyDescent="0.3">
      <c r="A340" s="10" t="str">
        <f t="shared" si="5"/>
        <v/>
      </c>
      <c r="B340" s="24"/>
      <c r="C340" s="25"/>
    </row>
    <row r="341" spans="1:3" x14ac:dyDescent="0.3">
      <c r="A341" s="10" t="str">
        <f t="shared" si="5"/>
        <v/>
      </c>
      <c r="B341" s="24"/>
      <c r="C341" s="25"/>
    </row>
    <row r="342" spans="1:3" x14ac:dyDescent="0.3">
      <c r="A342" s="10" t="str">
        <f t="shared" si="5"/>
        <v/>
      </c>
      <c r="B342" s="24"/>
      <c r="C342" s="25"/>
    </row>
    <row r="343" spans="1:3" x14ac:dyDescent="0.3">
      <c r="A343" s="10" t="str">
        <f t="shared" si="5"/>
        <v/>
      </c>
      <c r="B343" s="24"/>
      <c r="C343" s="25"/>
    </row>
    <row r="344" spans="1:3" x14ac:dyDescent="0.3">
      <c r="A344" s="10" t="str">
        <f t="shared" si="5"/>
        <v/>
      </c>
      <c r="B344" s="24"/>
      <c r="C344" s="25"/>
    </row>
    <row r="345" spans="1:3" x14ac:dyDescent="0.3">
      <c r="A345" s="10" t="str">
        <f t="shared" si="5"/>
        <v/>
      </c>
      <c r="B345" s="24"/>
      <c r="C345" s="25"/>
    </row>
    <row r="346" spans="1:3" x14ac:dyDescent="0.3">
      <c r="A346" s="10" t="str">
        <f t="shared" si="5"/>
        <v/>
      </c>
      <c r="B346" s="24"/>
      <c r="C346" s="25"/>
    </row>
    <row r="347" spans="1:3" x14ac:dyDescent="0.3">
      <c r="A347" s="10" t="str">
        <f t="shared" si="5"/>
        <v/>
      </c>
      <c r="B347" s="24"/>
      <c r="C347" s="25"/>
    </row>
    <row r="348" spans="1:3" x14ac:dyDescent="0.3">
      <c r="A348" s="10" t="str">
        <f t="shared" si="5"/>
        <v/>
      </c>
      <c r="B348" s="24"/>
      <c r="C348" s="25"/>
    </row>
    <row r="349" spans="1:3" x14ac:dyDescent="0.3">
      <c r="A349" s="10" t="str">
        <f t="shared" si="5"/>
        <v/>
      </c>
      <c r="B349" s="24"/>
      <c r="C349" s="25"/>
    </row>
    <row r="350" spans="1:3" x14ac:dyDescent="0.3">
      <c r="A350" s="10" t="str">
        <f t="shared" si="5"/>
        <v/>
      </c>
      <c r="B350" s="24"/>
      <c r="C350" s="25"/>
    </row>
    <row r="351" spans="1:3" x14ac:dyDescent="0.3">
      <c r="A351" s="10" t="str">
        <f t="shared" si="5"/>
        <v/>
      </c>
      <c r="B351" s="24"/>
      <c r="C351" s="25"/>
    </row>
    <row r="352" spans="1:3" x14ac:dyDescent="0.3">
      <c r="A352" s="10" t="str">
        <f t="shared" si="5"/>
        <v/>
      </c>
      <c r="B352" s="24"/>
      <c r="C352" s="25"/>
    </row>
    <row r="353" spans="1:3" x14ac:dyDescent="0.3">
      <c r="A353" s="10" t="str">
        <f t="shared" si="5"/>
        <v/>
      </c>
      <c r="B353" s="24"/>
      <c r="C353" s="25"/>
    </row>
    <row r="354" spans="1:3" x14ac:dyDescent="0.3">
      <c r="A354" s="10" t="str">
        <f t="shared" si="5"/>
        <v/>
      </c>
      <c r="B354" s="24"/>
      <c r="C354" s="25"/>
    </row>
    <row r="355" spans="1:3" x14ac:dyDescent="0.3">
      <c r="A355" s="10" t="str">
        <f t="shared" si="5"/>
        <v/>
      </c>
      <c r="B355" s="24"/>
      <c r="C355" s="25"/>
    </row>
    <row r="356" spans="1:3" x14ac:dyDescent="0.3">
      <c r="A356" s="10" t="str">
        <f t="shared" si="5"/>
        <v/>
      </c>
      <c r="B356" s="24"/>
      <c r="C356" s="25"/>
    </row>
    <row r="357" spans="1:3" x14ac:dyDescent="0.3">
      <c r="A357" s="10" t="str">
        <f t="shared" si="5"/>
        <v/>
      </c>
      <c r="B357" s="24"/>
      <c r="C357" s="25"/>
    </row>
    <row r="358" spans="1:3" x14ac:dyDescent="0.3">
      <c r="A358" s="10" t="str">
        <f t="shared" si="5"/>
        <v/>
      </c>
      <c r="B358" s="24"/>
      <c r="C358" s="25"/>
    </row>
    <row r="359" spans="1:3" x14ac:dyDescent="0.3">
      <c r="A359" s="10" t="str">
        <f t="shared" si="5"/>
        <v/>
      </c>
      <c r="B359" s="24"/>
      <c r="C359" s="25"/>
    </row>
    <row r="360" spans="1:3" x14ac:dyDescent="0.3">
      <c r="A360" s="10" t="str">
        <f t="shared" si="5"/>
        <v/>
      </c>
      <c r="B360" s="24"/>
      <c r="C360" s="25"/>
    </row>
    <row r="361" spans="1:3" x14ac:dyDescent="0.3">
      <c r="A361" s="10" t="str">
        <f t="shared" si="5"/>
        <v/>
      </c>
      <c r="B361" s="24"/>
      <c r="C361" s="25"/>
    </row>
    <row r="362" spans="1:3" x14ac:dyDescent="0.3">
      <c r="A362" s="10" t="str">
        <f t="shared" si="5"/>
        <v/>
      </c>
      <c r="B362" s="24"/>
      <c r="C362" s="25"/>
    </row>
    <row r="363" spans="1:3" x14ac:dyDescent="0.3">
      <c r="A363" s="10" t="str">
        <f t="shared" si="5"/>
        <v/>
      </c>
      <c r="B363" s="24"/>
      <c r="C363" s="25"/>
    </row>
    <row r="364" spans="1:3" x14ac:dyDescent="0.3">
      <c r="A364" s="10" t="str">
        <f t="shared" si="5"/>
        <v/>
      </c>
      <c r="B364" s="24"/>
      <c r="C364" s="25"/>
    </row>
    <row r="365" spans="1:3" x14ac:dyDescent="0.3">
      <c r="A365" s="10" t="str">
        <f t="shared" si="5"/>
        <v/>
      </c>
      <c r="B365" s="24"/>
      <c r="C365" s="25"/>
    </row>
    <row r="366" spans="1:3" x14ac:dyDescent="0.3">
      <c r="A366" s="10" t="str">
        <f t="shared" si="5"/>
        <v/>
      </c>
      <c r="B366" s="24"/>
      <c r="C366" s="25"/>
    </row>
    <row r="367" spans="1:3" x14ac:dyDescent="0.3">
      <c r="A367" s="10" t="str">
        <f t="shared" si="5"/>
        <v/>
      </c>
      <c r="B367" s="24"/>
      <c r="C367" s="25"/>
    </row>
    <row r="368" spans="1:3" x14ac:dyDescent="0.3">
      <c r="A368" s="10" t="str">
        <f t="shared" si="5"/>
        <v/>
      </c>
      <c r="B368" s="24"/>
      <c r="C368" s="25"/>
    </row>
    <row r="369" spans="1:3" x14ac:dyDescent="0.3">
      <c r="A369" s="10" t="str">
        <f t="shared" si="5"/>
        <v/>
      </c>
      <c r="B369" s="24"/>
      <c r="C369" s="25"/>
    </row>
    <row r="370" spans="1:3" x14ac:dyDescent="0.3">
      <c r="A370" s="10" t="str">
        <f t="shared" si="5"/>
        <v/>
      </c>
      <c r="B370" s="24"/>
      <c r="C370" s="25"/>
    </row>
    <row r="371" spans="1:3" x14ac:dyDescent="0.3">
      <c r="A371" s="10" t="str">
        <f t="shared" si="5"/>
        <v/>
      </c>
      <c r="B371" s="24"/>
      <c r="C371" s="25"/>
    </row>
    <row r="372" spans="1:3" x14ac:dyDescent="0.3">
      <c r="A372" s="10" t="str">
        <f t="shared" si="5"/>
        <v/>
      </c>
      <c r="B372" s="24"/>
      <c r="C372" s="25"/>
    </row>
    <row r="373" spans="1:3" x14ac:dyDescent="0.3">
      <c r="A373" s="10" t="str">
        <f t="shared" si="5"/>
        <v/>
      </c>
      <c r="B373" s="24"/>
      <c r="C373" s="25"/>
    </row>
    <row r="374" spans="1:3" x14ac:dyDescent="0.3">
      <c r="A374" s="10" t="str">
        <f t="shared" si="5"/>
        <v/>
      </c>
      <c r="B374" s="24"/>
      <c r="C374" s="25"/>
    </row>
    <row r="375" spans="1:3" x14ac:dyDescent="0.3">
      <c r="A375" s="10" t="str">
        <f t="shared" si="5"/>
        <v/>
      </c>
      <c r="B375" s="24"/>
      <c r="C375" s="25"/>
    </row>
    <row r="376" spans="1:3" x14ac:dyDescent="0.3">
      <c r="A376" s="10" t="str">
        <f t="shared" si="5"/>
        <v/>
      </c>
      <c r="B376" s="24"/>
      <c r="C376" s="25"/>
    </row>
    <row r="377" spans="1:3" x14ac:dyDescent="0.3">
      <c r="A377" s="10" t="str">
        <f t="shared" si="5"/>
        <v/>
      </c>
      <c r="B377" s="24"/>
      <c r="C377" s="25"/>
    </row>
    <row r="378" spans="1:3" x14ac:dyDescent="0.3">
      <c r="A378" s="10" t="str">
        <f t="shared" si="5"/>
        <v/>
      </c>
      <c r="B378" s="24"/>
      <c r="C378" s="25"/>
    </row>
    <row r="379" spans="1:3" x14ac:dyDescent="0.3">
      <c r="A379" s="10" t="str">
        <f t="shared" si="5"/>
        <v/>
      </c>
      <c r="B379" s="24"/>
      <c r="C379" s="25"/>
    </row>
    <row r="380" spans="1:3" x14ac:dyDescent="0.3">
      <c r="A380" s="10" t="str">
        <f t="shared" si="5"/>
        <v/>
      </c>
      <c r="B380" s="24"/>
      <c r="C380" s="25"/>
    </row>
    <row r="381" spans="1:3" x14ac:dyDescent="0.3">
      <c r="A381" s="10" t="str">
        <f t="shared" si="5"/>
        <v/>
      </c>
      <c r="B381" s="24"/>
      <c r="C381" s="25"/>
    </row>
    <row r="382" spans="1:3" x14ac:dyDescent="0.3">
      <c r="A382" s="10" t="str">
        <f t="shared" si="5"/>
        <v/>
      </c>
      <c r="B382" s="24"/>
      <c r="C382" s="25"/>
    </row>
    <row r="383" spans="1:3" x14ac:dyDescent="0.3">
      <c r="A383" s="10" t="str">
        <f t="shared" si="5"/>
        <v/>
      </c>
      <c r="B383" s="24"/>
      <c r="C383" s="25"/>
    </row>
    <row r="384" spans="1:3" x14ac:dyDescent="0.3">
      <c r="A384" s="10" t="str">
        <f t="shared" si="5"/>
        <v/>
      </c>
      <c r="B384" s="24"/>
      <c r="C384" s="25"/>
    </row>
    <row r="385" spans="1:3" x14ac:dyDescent="0.3">
      <c r="A385" s="10" t="str">
        <f t="shared" si="5"/>
        <v/>
      </c>
      <c r="B385" s="24"/>
      <c r="C385" s="25"/>
    </row>
    <row r="386" spans="1:3" x14ac:dyDescent="0.3">
      <c r="A386" s="10" t="str">
        <f t="shared" si="5"/>
        <v/>
      </c>
      <c r="B386" s="24"/>
      <c r="C386" s="25"/>
    </row>
    <row r="387" spans="1:3" x14ac:dyDescent="0.3">
      <c r="A387" s="10" t="str">
        <f t="shared" si="5"/>
        <v/>
      </c>
      <c r="B387" s="24"/>
      <c r="C387" s="25"/>
    </row>
    <row r="388" spans="1:3" x14ac:dyDescent="0.3">
      <c r="A388" s="10" t="str">
        <f t="shared" si="5"/>
        <v/>
      </c>
      <c r="B388" s="24"/>
      <c r="C388" s="25"/>
    </row>
    <row r="389" spans="1:3" x14ac:dyDescent="0.3">
      <c r="A389" s="10" t="str">
        <f t="shared" si="5"/>
        <v/>
      </c>
      <c r="B389" s="24"/>
      <c r="C389" s="25"/>
    </row>
    <row r="390" spans="1:3" x14ac:dyDescent="0.3">
      <c r="A390" s="10" t="str">
        <f t="shared" si="5"/>
        <v/>
      </c>
      <c r="B390" s="24"/>
      <c r="C390" s="25"/>
    </row>
    <row r="391" spans="1:3" x14ac:dyDescent="0.3">
      <c r="A391" s="10" t="str">
        <f t="shared" si="5"/>
        <v/>
      </c>
      <c r="B391" s="24"/>
      <c r="C391" s="25"/>
    </row>
    <row r="392" spans="1:3" x14ac:dyDescent="0.3">
      <c r="A392" s="10" t="str">
        <f t="shared" si="5"/>
        <v/>
      </c>
      <c r="B392" s="24"/>
      <c r="C392" s="25"/>
    </row>
    <row r="393" spans="1:3" x14ac:dyDescent="0.3">
      <c r="A393" s="10" t="str">
        <f t="shared" si="5"/>
        <v/>
      </c>
      <c r="B393" s="24"/>
      <c r="C393" s="25"/>
    </row>
    <row r="394" spans="1:3" x14ac:dyDescent="0.3">
      <c r="A394" s="10" t="str">
        <f t="shared" si="5"/>
        <v/>
      </c>
      <c r="B394" s="24"/>
      <c r="C394" s="25"/>
    </row>
    <row r="395" spans="1:3" x14ac:dyDescent="0.3">
      <c r="A395" s="10" t="str">
        <f t="shared" ref="A395:A458" si="6">IF(COUNT(B395:C395) =2,ROWS(A395:A395)+394:394,"")</f>
        <v/>
      </c>
      <c r="B395" s="24"/>
      <c r="C395" s="25"/>
    </row>
    <row r="396" spans="1:3" x14ac:dyDescent="0.3">
      <c r="A396" s="10" t="str">
        <f t="shared" si="6"/>
        <v/>
      </c>
      <c r="B396" s="24"/>
      <c r="C396" s="25"/>
    </row>
    <row r="397" spans="1:3" x14ac:dyDescent="0.3">
      <c r="A397" s="10" t="str">
        <f t="shared" si="6"/>
        <v/>
      </c>
      <c r="B397" s="24"/>
      <c r="C397" s="25"/>
    </row>
    <row r="398" spans="1:3" x14ac:dyDescent="0.3">
      <c r="A398" s="10" t="str">
        <f t="shared" si="6"/>
        <v/>
      </c>
      <c r="B398" s="24"/>
      <c r="C398" s="25"/>
    </row>
    <row r="399" spans="1:3" x14ac:dyDescent="0.3">
      <c r="A399" s="10" t="str">
        <f t="shared" si="6"/>
        <v/>
      </c>
      <c r="B399" s="24"/>
      <c r="C399" s="25"/>
    </row>
    <row r="400" spans="1:3" x14ac:dyDescent="0.3">
      <c r="A400" s="10" t="str">
        <f t="shared" si="6"/>
        <v/>
      </c>
      <c r="B400" s="24"/>
      <c r="C400" s="25"/>
    </row>
    <row r="401" spans="1:3" x14ac:dyDescent="0.3">
      <c r="A401" s="10" t="str">
        <f t="shared" si="6"/>
        <v/>
      </c>
      <c r="B401" s="24"/>
      <c r="C401" s="25"/>
    </row>
    <row r="402" spans="1:3" x14ac:dyDescent="0.3">
      <c r="A402" s="10" t="str">
        <f t="shared" si="6"/>
        <v/>
      </c>
      <c r="B402" s="24"/>
      <c r="C402" s="25"/>
    </row>
    <row r="403" spans="1:3" x14ac:dyDescent="0.3">
      <c r="A403" s="10" t="str">
        <f t="shared" si="6"/>
        <v/>
      </c>
      <c r="B403" s="24"/>
      <c r="C403" s="25"/>
    </row>
    <row r="404" spans="1:3" x14ac:dyDescent="0.3">
      <c r="A404" s="10" t="str">
        <f t="shared" si="6"/>
        <v/>
      </c>
      <c r="B404" s="24"/>
      <c r="C404" s="25"/>
    </row>
    <row r="405" spans="1:3" x14ac:dyDescent="0.3">
      <c r="A405" s="10" t="str">
        <f t="shared" si="6"/>
        <v/>
      </c>
      <c r="B405" s="24"/>
      <c r="C405" s="25"/>
    </row>
    <row r="406" spans="1:3" x14ac:dyDescent="0.3">
      <c r="A406" s="10" t="str">
        <f t="shared" si="6"/>
        <v/>
      </c>
      <c r="B406" s="24"/>
      <c r="C406" s="25"/>
    </row>
    <row r="407" spans="1:3" x14ac:dyDescent="0.3">
      <c r="A407" s="10" t="str">
        <f t="shared" si="6"/>
        <v/>
      </c>
      <c r="B407" s="24"/>
      <c r="C407" s="25"/>
    </row>
    <row r="408" spans="1:3" x14ac:dyDescent="0.3">
      <c r="A408" s="10" t="str">
        <f t="shared" si="6"/>
        <v/>
      </c>
      <c r="B408" s="24"/>
      <c r="C408" s="25"/>
    </row>
    <row r="409" spans="1:3" x14ac:dyDescent="0.3">
      <c r="A409" s="10" t="str">
        <f t="shared" si="6"/>
        <v/>
      </c>
      <c r="B409" s="24"/>
      <c r="C409" s="25"/>
    </row>
    <row r="410" spans="1:3" x14ac:dyDescent="0.3">
      <c r="A410" s="10" t="str">
        <f t="shared" si="6"/>
        <v/>
      </c>
      <c r="B410" s="24"/>
      <c r="C410" s="25"/>
    </row>
    <row r="411" spans="1:3" x14ac:dyDescent="0.3">
      <c r="A411" s="10" t="str">
        <f t="shared" si="6"/>
        <v/>
      </c>
      <c r="B411" s="24"/>
      <c r="C411" s="25"/>
    </row>
    <row r="412" spans="1:3" x14ac:dyDescent="0.3">
      <c r="A412" s="10" t="str">
        <f t="shared" si="6"/>
        <v/>
      </c>
      <c r="B412" s="24"/>
      <c r="C412" s="25"/>
    </row>
    <row r="413" spans="1:3" x14ac:dyDescent="0.3">
      <c r="A413" s="10" t="str">
        <f t="shared" si="6"/>
        <v/>
      </c>
      <c r="B413" s="24"/>
      <c r="C413" s="25"/>
    </row>
    <row r="414" spans="1:3" x14ac:dyDescent="0.3">
      <c r="A414" s="10" t="str">
        <f t="shared" si="6"/>
        <v/>
      </c>
      <c r="B414" s="24"/>
      <c r="C414" s="25"/>
    </row>
    <row r="415" spans="1:3" x14ac:dyDescent="0.3">
      <c r="A415" s="10" t="str">
        <f t="shared" si="6"/>
        <v/>
      </c>
      <c r="B415" s="24"/>
      <c r="C415" s="25"/>
    </row>
    <row r="416" spans="1:3" x14ac:dyDescent="0.3">
      <c r="A416" s="10" t="str">
        <f t="shared" si="6"/>
        <v/>
      </c>
      <c r="B416" s="24"/>
      <c r="C416" s="25"/>
    </row>
    <row r="417" spans="1:3" x14ac:dyDescent="0.3">
      <c r="A417" s="10" t="str">
        <f t="shared" si="6"/>
        <v/>
      </c>
      <c r="B417" s="24"/>
      <c r="C417" s="25"/>
    </row>
    <row r="418" spans="1:3" x14ac:dyDescent="0.3">
      <c r="A418" s="10" t="str">
        <f t="shared" si="6"/>
        <v/>
      </c>
      <c r="B418" s="24"/>
      <c r="C418" s="25"/>
    </row>
    <row r="419" spans="1:3" x14ac:dyDescent="0.3">
      <c r="A419" s="10" t="str">
        <f t="shared" si="6"/>
        <v/>
      </c>
      <c r="B419" s="24"/>
      <c r="C419" s="25"/>
    </row>
    <row r="420" spans="1:3" x14ac:dyDescent="0.3">
      <c r="A420" s="10" t="str">
        <f t="shared" si="6"/>
        <v/>
      </c>
      <c r="B420" s="24"/>
      <c r="C420" s="25"/>
    </row>
    <row r="421" spans="1:3" x14ac:dyDescent="0.3">
      <c r="A421" s="10" t="str">
        <f t="shared" si="6"/>
        <v/>
      </c>
      <c r="B421" s="24"/>
      <c r="C421" s="25"/>
    </row>
    <row r="422" spans="1:3" x14ac:dyDescent="0.3">
      <c r="A422" s="10" t="str">
        <f t="shared" si="6"/>
        <v/>
      </c>
      <c r="B422" s="24"/>
      <c r="C422" s="25"/>
    </row>
    <row r="423" spans="1:3" x14ac:dyDescent="0.3">
      <c r="A423" s="10" t="str">
        <f t="shared" si="6"/>
        <v/>
      </c>
      <c r="B423" s="24"/>
      <c r="C423" s="25"/>
    </row>
    <row r="424" spans="1:3" x14ac:dyDescent="0.3">
      <c r="A424" s="10" t="str">
        <f t="shared" si="6"/>
        <v/>
      </c>
      <c r="B424" s="24"/>
      <c r="C424" s="25"/>
    </row>
    <row r="425" spans="1:3" x14ac:dyDescent="0.3">
      <c r="A425" s="10" t="str">
        <f t="shared" si="6"/>
        <v/>
      </c>
      <c r="B425" s="24"/>
      <c r="C425" s="25"/>
    </row>
    <row r="426" spans="1:3" x14ac:dyDescent="0.3">
      <c r="A426" s="10" t="str">
        <f t="shared" si="6"/>
        <v/>
      </c>
      <c r="B426" s="24"/>
      <c r="C426" s="25"/>
    </row>
    <row r="427" spans="1:3" x14ac:dyDescent="0.3">
      <c r="A427" s="10" t="str">
        <f t="shared" si="6"/>
        <v/>
      </c>
      <c r="B427" s="24"/>
      <c r="C427" s="25"/>
    </row>
    <row r="428" spans="1:3" x14ac:dyDescent="0.3">
      <c r="A428" s="10" t="str">
        <f t="shared" si="6"/>
        <v/>
      </c>
      <c r="B428" s="24"/>
      <c r="C428" s="25"/>
    </row>
    <row r="429" spans="1:3" x14ac:dyDescent="0.3">
      <c r="A429" s="10" t="str">
        <f t="shared" si="6"/>
        <v/>
      </c>
      <c r="B429" s="24"/>
      <c r="C429" s="25"/>
    </row>
    <row r="430" spans="1:3" x14ac:dyDescent="0.3">
      <c r="A430" s="10" t="str">
        <f t="shared" si="6"/>
        <v/>
      </c>
      <c r="B430" s="24"/>
      <c r="C430" s="25"/>
    </row>
    <row r="431" spans="1:3" x14ac:dyDescent="0.3">
      <c r="A431" s="10" t="str">
        <f t="shared" si="6"/>
        <v/>
      </c>
      <c r="B431" s="24"/>
      <c r="C431" s="25"/>
    </row>
    <row r="432" spans="1:3" x14ac:dyDescent="0.3">
      <c r="A432" s="10" t="str">
        <f t="shared" si="6"/>
        <v/>
      </c>
      <c r="B432" s="24"/>
      <c r="C432" s="25"/>
    </row>
    <row r="433" spans="1:3" x14ac:dyDescent="0.3">
      <c r="A433" s="10" t="str">
        <f t="shared" si="6"/>
        <v/>
      </c>
      <c r="B433" s="24"/>
      <c r="C433" s="25"/>
    </row>
    <row r="434" spans="1:3" x14ac:dyDescent="0.3">
      <c r="A434" s="10" t="str">
        <f t="shared" si="6"/>
        <v/>
      </c>
      <c r="B434" s="24"/>
      <c r="C434" s="25"/>
    </row>
    <row r="435" spans="1:3" x14ac:dyDescent="0.3">
      <c r="A435" s="10" t="str">
        <f t="shared" si="6"/>
        <v/>
      </c>
      <c r="B435" s="24"/>
      <c r="C435" s="25"/>
    </row>
    <row r="436" spans="1:3" x14ac:dyDescent="0.3">
      <c r="A436" s="10" t="str">
        <f t="shared" si="6"/>
        <v/>
      </c>
      <c r="B436" s="24"/>
      <c r="C436" s="25"/>
    </row>
    <row r="437" spans="1:3" x14ac:dyDescent="0.3">
      <c r="A437" s="10" t="str">
        <f t="shared" si="6"/>
        <v/>
      </c>
      <c r="B437" s="24"/>
      <c r="C437" s="25"/>
    </row>
    <row r="438" spans="1:3" x14ac:dyDescent="0.3">
      <c r="A438" s="10" t="str">
        <f t="shared" si="6"/>
        <v/>
      </c>
      <c r="B438" s="24"/>
      <c r="C438" s="25"/>
    </row>
    <row r="439" spans="1:3" x14ac:dyDescent="0.3">
      <c r="A439" s="10" t="str">
        <f t="shared" si="6"/>
        <v/>
      </c>
      <c r="B439" s="24"/>
      <c r="C439" s="25"/>
    </row>
    <row r="440" spans="1:3" x14ac:dyDescent="0.3">
      <c r="A440" s="10" t="str">
        <f t="shared" si="6"/>
        <v/>
      </c>
      <c r="B440" s="24"/>
      <c r="C440" s="25"/>
    </row>
    <row r="441" spans="1:3" x14ac:dyDescent="0.3">
      <c r="A441" s="10" t="str">
        <f t="shared" si="6"/>
        <v/>
      </c>
      <c r="B441" s="24"/>
      <c r="C441" s="25"/>
    </row>
    <row r="442" spans="1:3" x14ac:dyDescent="0.3">
      <c r="A442" s="10" t="str">
        <f t="shared" si="6"/>
        <v/>
      </c>
      <c r="B442" s="24"/>
      <c r="C442" s="25"/>
    </row>
    <row r="443" spans="1:3" x14ac:dyDescent="0.3">
      <c r="A443" s="10" t="str">
        <f t="shared" si="6"/>
        <v/>
      </c>
      <c r="B443" s="24"/>
      <c r="C443" s="25"/>
    </row>
    <row r="444" spans="1:3" x14ac:dyDescent="0.3">
      <c r="A444" s="10" t="str">
        <f t="shared" si="6"/>
        <v/>
      </c>
      <c r="B444" s="24"/>
      <c r="C444" s="25"/>
    </row>
    <row r="445" spans="1:3" x14ac:dyDescent="0.3">
      <c r="A445" s="10" t="str">
        <f t="shared" si="6"/>
        <v/>
      </c>
      <c r="B445" s="24"/>
      <c r="C445" s="25"/>
    </row>
    <row r="446" spans="1:3" x14ac:dyDescent="0.3">
      <c r="A446" s="10" t="str">
        <f t="shared" si="6"/>
        <v/>
      </c>
      <c r="B446" s="24"/>
      <c r="C446" s="25"/>
    </row>
    <row r="447" spans="1:3" x14ac:dyDescent="0.3">
      <c r="A447" s="10" t="str">
        <f t="shared" si="6"/>
        <v/>
      </c>
      <c r="B447" s="24"/>
      <c r="C447" s="25"/>
    </row>
    <row r="448" spans="1:3" x14ac:dyDescent="0.3">
      <c r="A448" s="10" t="str">
        <f t="shared" si="6"/>
        <v/>
      </c>
      <c r="B448" s="24"/>
      <c r="C448" s="25"/>
    </row>
    <row r="449" spans="1:3" x14ac:dyDescent="0.3">
      <c r="A449" s="10" t="str">
        <f t="shared" si="6"/>
        <v/>
      </c>
      <c r="B449" s="24"/>
      <c r="C449" s="25"/>
    </row>
    <row r="450" spans="1:3" x14ac:dyDescent="0.3">
      <c r="A450" s="10" t="str">
        <f t="shared" si="6"/>
        <v/>
      </c>
      <c r="B450" s="24"/>
      <c r="C450" s="25"/>
    </row>
    <row r="451" spans="1:3" x14ac:dyDescent="0.3">
      <c r="A451" s="10" t="str">
        <f t="shared" si="6"/>
        <v/>
      </c>
      <c r="B451" s="24"/>
      <c r="C451" s="25"/>
    </row>
    <row r="452" spans="1:3" x14ac:dyDescent="0.3">
      <c r="A452" s="10" t="str">
        <f t="shared" si="6"/>
        <v/>
      </c>
      <c r="B452" s="24"/>
      <c r="C452" s="25"/>
    </row>
    <row r="453" spans="1:3" x14ac:dyDescent="0.3">
      <c r="A453" s="10" t="str">
        <f t="shared" si="6"/>
        <v/>
      </c>
      <c r="B453" s="24"/>
      <c r="C453" s="25"/>
    </row>
    <row r="454" spans="1:3" x14ac:dyDescent="0.3">
      <c r="A454" s="10" t="str">
        <f t="shared" si="6"/>
        <v/>
      </c>
      <c r="B454" s="24"/>
      <c r="C454" s="25"/>
    </row>
    <row r="455" spans="1:3" x14ac:dyDescent="0.3">
      <c r="A455" s="10" t="str">
        <f t="shared" si="6"/>
        <v/>
      </c>
      <c r="B455" s="24"/>
      <c r="C455" s="25"/>
    </row>
    <row r="456" spans="1:3" x14ac:dyDescent="0.3">
      <c r="A456" s="10" t="str">
        <f t="shared" si="6"/>
        <v/>
      </c>
      <c r="B456" s="24"/>
      <c r="C456" s="25"/>
    </row>
    <row r="457" spans="1:3" x14ac:dyDescent="0.3">
      <c r="A457" s="10" t="str">
        <f t="shared" si="6"/>
        <v/>
      </c>
      <c r="B457" s="24"/>
      <c r="C457" s="25"/>
    </row>
    <row r="458" spans="1:3" x14ac:dyDescent="0.3">
      <c r="A458" s="10" t="str">
        <f t="shared" si="6"/>
        <v/>
      </c>
      <c r="B458" s="24"/>
      <c r="C458" s="25"/>
    </row>
    <row r="459" spans="1:3" x14ac:dyDescent="0.3">
      <c r="A459" s="10" t="str">
        <f t="shared" ref="A459:A522" si="7">IF(COUNT(B459:C459) =2,ROWS(A459:A459)+458:458,"")</f>
        <v/>
      </c>
      <c r="B459" s="24"/>
      <c r="C459" s="25"/>
    </row>
    <row r="460" spans="1:3" x14ac:dyDescent="0.3">
      <c r="A460" s="10" t="str">
        <f t="shared" si="7"/>
        <v/>
      </c>
      <c r="B460" s="24"/>
      <c r="C460" s="25"/>
    </row>
    <row r="461" spans="1:3" x14ac:dyDescent="0.3">
      <c r="A461" s="10" t="str">
        <f t="shared" si="7"/>
        <v/>
      </c>
      <c r="B461" s="24"/>
      <c r="C461" s="25"/>
    </row>
    <row r="462" spans="1:3" x14ac:dyDescent="0.3">
      <c r="A462" s="10" t="str">
        <f t="shared" si="7"/>
        <v/>
      </c>
      <c r="B462" s="24"/>
      <c r="C462" s="25"/>
    </row>
    <row r="463" spans="1:3" x14ac:dyDescent="0.3">
      <c r="A463" s="10" t="str">
        <f t="shared" si="7"/>
        <v/>
      </c>
      <c r="B463" s="24"/>
      <c r="C463" s="25"/>
    </row>
    <row r="464" spans="1:3" x14ac:dyDescent="0.3">
      <c r="A464" s="10" t="str">
        <f t="shared" si="7"/>
        <v/>
      </c>
      <c r="B464" s="24"/>
      <c r="C464" s="25"/>
    </row>
    <row r="465" spans="1:3" x14ac:dyDescent="0.3">
      <c r="A465" s="10" t="str">
        <f t="shared" si="7"/>
        <v/>
      </c>
      <c r="B465" s="24"/>
      <c r="C465" s="25"/>
    </row>
    <row r="466" spans="1:3" x14ac:dyDescent="0.3">
      <c r="A466" s="10" t="str">
        <f t="shared" si="7"/>
        <v/>
      </c>
      <c r="B466" s="24"/>
      <c r="C466" s="25"/>
    </row>
    <row r="467" spans="1:3" x14ac:dyDescent="0.3">
      <c r="A467" s="10" t="str">
        <f t="shared" si="7"/>
        <v/>
      </c>
      <c r="B467" s="24"/>
      <c r="C467" s="25"/>
    </row>
    <row r="468" spans="1:3" x14ac:dyDescent="0.3">
      <c r="A468" s="10" t="str">
        <f t="shared" si="7"/>
        <v/>
      </c>
      <c r="B468" s="24"/>
      <c r="C468" s="25"/>
    </row>
    <row r="469" spans="1:3" x14ac:dyDescent="0.3">
      <c r="A469" s="10" t="str">
        <f t="shared" si="7"/>
        <v/>
      </c>
      <c r="B469" s="24"/>
      <c r="C469" s="25"/>
    </row>
    <row r="470" spans="1:3" x14ac:dyDescent="0.3">
      <c r="A470" s="10" t="str">
        <f t="shared" si="7"/>
        <v/>
      </c>
      <c r="B470" s="24"/>
      <c r="C470" s="25"/>
    </row>
    <row r="471" spans="1:3" x14ac:dyDescent="0.3">
      <c r="A471" s="10" t="str">
        <f t="shared" si="7"/>
        <v/>
      </c>
      <c r="B471" s="24"/>
      <c r="C471" s="25"/>
    </row>
    <row r="472" spans="1:3" x14ac:dyDescent="0.3">
      <c r="A472" s="10" t="str">
        <f t="shared" si="7"/>
        <v/>
      </c>
      <c r="B472" s="24"/>
      <c r="C472" s="25"/>
    </row>
    <row r="473" spans="1:3" x14ac:dyDescent="0.3">
      <c r="A473" s="10" t="str">
        <f t="shared" si="7"/>
        <v/>
      </c>
      <c r="B473" s="24"/>
      <c r="C473" s="25"/>
    </row>
    <row r="474" spans="1:3" x14ac:dyDescent="0.3">
      <c r="A474" s="10" t="str">
        <f t="shared" si="7"/>
        <v/>
      </c>
      <c r="B474" s="24"/>
      <c r="C474" s="25"/>
    </row>
    <row r="475" spans="1:3" x14ac:dyDescent="0.3">
      <c r="A475" s="10" t="str">
        <f t="shared" si="7"/>
        <v/>
      </c>
      <c r="B475" s="24"/>
      <c r="C475" s="25"/>
    </row>
    <row r="476" spans="1:3" x14ac:dyDescent="0.3">
      <c r="A476" s="10" t="str">
        <f t="shared" si="7"/>
        <v/>
      </c>
      <c r="B476" s="24"/>
      <c r="C476" s="25"/>
    </row>
    <row r="477" spans="1:3" x14ac:dyDescent="0.3">
      <c r="A477" s="10" t="str">
        <f t="shared" si="7"/>
        <v/>
      </c>
      <c r="B477" s="24"/>
      <c r="C477" s="25"/>
    </row>
    <row r="478" spans="1:3" x14ac:dyDescent="0.3">
      <c r="A478" s="10" t="str">
        <f t="shared" si="7"/>
        <v/>
      </c>
      <c r="B478" s="24"/>
      <c r="C478" s="25"/>
    </row>
    <row r="479" spans="1:3" x14ac:dyDescent="0.3">
      <c r="A479" s="10" t="str">
        <f t="shared" si="7"/>
        <v/>
      </c>
      <c r="B479" s="24"/>
      <c r="C479" s="25"/>
    </row>
    <row r="480" spans="1:3" x14ac:dyDescent="0.3">
      <c r="A480" s="10" t="str">
        <f t="shared" si="7"/>
        <v/>
      </c>
      <c r="B480" s="24"/>
      <c r="C480" s="25"/>
    </row>
    <row r="481" spans="1:3" x14ac:dyDescent="0.3">
      <c r="A481" s="10" t="str">
        <f t="shared" si="7"/>
        <v/>
      </c>
      <c r="B481" s="24"/>
      <c r="C481" s="25"/>
    </row>
    <row r="482" spans="1:3" x14ac:dyDescent="0.3">
      <c r="A482" s="10" t="str">
        <f t="shared" si="7"/>
        <v/>
      </c>
      <c r="B482" s="24"/>
      <c r="C482" s="25"/>
    </row>
    <row r="483" spans="1:3" x14ac:dyDescent="0.3">
      <c r="A483" s="10" t="str">
        <f t="shared" si="7"/>
        <v/>
      </c>
      <c r="B483" s="24"/>
      <c r="C483" s="25"/>
    </row>
    <row r="484" spans="1:3" x14ac:dyDescent="0.3">
      <c r="A484" s="10" t="str">
        <f t="shared" si="7"/>
        <v/>
      </c>
      <c r="B484" s="24"/>
      <c r="C484" s="25"/>
    </row>
    <row r="485" spans="1:3" x14ac:dyDescent="0.3">
      <c r="A485" s="10" t="str">
        <f t="shared" si="7"/>
        <v/>
      </c>
      <c r="B485" s="24"/>
      <c r="C485" s="25"/>
    </row>
    <row r="486" spans="1:3" x14ac:dyDescent="0.3">
      <c r="A486" s="10" t="str">
        <f t="shared" si="7"/>
        <v/>
      </c>
      <c r="B486" s="24"/>
      <c r="C486" s="25"/>
    </row>
    <row r="487" spans="1:3" x14ac:dyDescent="0.3">
      <c r="A487" s="10" t="str">
        <f t="shared" si="7"/>
        <v/>
      </c>
      <c r="B487" s="24"/>
      <c r="C487" s="25"/>
    </row>
    <row r="488" spans="1:3" x14ac:dyDescent="0.3">
      <c r="A488" s="10" t="str">
        <f t="shared" si="7"/>
        <v/>
      </c>
      <c r="B488" s="24"/>
      <c r="C488" s="25"/>
    </row>
    <row r="489" spans="1:3" x14ac:dyDescent="0.3">
      <c r="A489" s="10" t="str">
        <f t="shared" si="7"/>
        <v/>
      </c>
      <c r="B489" s="24"/>
      <c r="C489" s="25"/>
    </row>
    <row r="490" spans="1:3" x14ac:dyDescent="0.3">
      <c r="A490" s="10" t="str">
        <f t="shared" si="7"/>
        <v/>
      </c>
      <c r="B490" s="24"/>
      <c r="C490" s="25"/>
    </row>
    <row r="491" spans="1:3" x14ac:dyDescent="0.3">
      <c r="A491" s="10" t="str">
        <f t="shared" si="7"/>
        <v/>
      </c>
      <c r="B491" s="24"/>
      <c r="C491" s="25"/>
    </row>
    <row r="492" spans="1:3" x14ac:dyDescent="0.3">
      <c r="A492" s="10" t="str">
        <f t="shared" si="7"/>
        <v/>
      </c>
      <c r="B492" s="24"/>
      <c r="C492" s="25"/>
    </row>
    <row r="493" spans="1:3" x14ac:dyDescent="0.3">
      <c r="A493" s="10" t="str">
        <f t="shared" si="7"/>
        <v/>
      </c>
      <c r="B493" s="24"/>
      <c r="C493" s="25"/>
    </row>
    <row r="494" spans="1:3" x14ac:dyDescent="0.3">
      <c r="A494" s="10" t="str">
        <f t="shared" si="7"/>
        <v/>
      </c>
      <c r="B494" s="24"/>
      <c r="C494" s="25"/>
    </row>
    <row r="495" spans="1:3" x14ac:dyDescent="0.3">
      <c r="A495" s="10" t="str">
        <f t="shared" si="7"/>
        <v/>
      </c>
      <c r="B495" s="24"/>
      <c r="C495" s="25"/>
    </row>
    <row r="496" spans="1:3" x14ac:dyDescent="0.3">
      <c r="A496" s="10" t="str">
        <f t="shared" si="7"/>
        <v/>
      </c>
      <c r="B496" s="24"/>
      <c r="C496" s="25"/>
    </row>
    <row r="497" spans="1:3" x14ac:dyDescent="0.3">
      <c r="A497" s="10" t="str">
        <f t="shared" si="7"/>
        <v/>
      </c>
      <c r="B497" s="24"/>
      <c r="C497" s="25"/>
    </row>
    <row r="498" spans="1:3" x14ac:dyDescent="0.3">
      <c r="A498" s="10" t="str">
        <f t="shared" si="7"/>
        <v/>
      </c>
      <c r="B498" s="24"/>
      <c r="C498" s="25"/>
    </row>
    <row r="499" spans="1:3" x14ac:dyDescent="0.3">
      <c r="A499" s="10" t="str">
        <f t="shared" si="7"/>
        <v/>
      </c>
      <c r="B499" s="24"/>
      <c r="C499" s="25"/>
    </row>
    <row r="500" spans="1:3" x14ac:dyDescent="0.3">
      <c r="A500" s="10" t="str">
        <f t="shared" si="7"/>
        <v/>
      </c>
      <c r="B500" s="24"/>
      <c r="C500" s="25"/>
    </row>
    <row r="501" spans="1:3" x14ac:dyDescent="0.3">
      <c r="A501" s="10" t="str">
        <f t="shared" si="7"/>
        <v/>
      </c>
      <c r="B501" s="24"/>
      <c r="C501" s="25"/>
    </row>
    <row r="502" spans="1:3" x14ac:dyDescent="0.3">
      <c r="A502" s="10" t="str">
        <f t="shared" si="7"/>
        <v/>
      </c>
      <c r="B502" s="24"/>
      <c r="C502" s="25"/>
    </row>
    <row r="503" spans="1:3" x14ac:dyDescent="0.3">
      <c r="A503" s="10" t="str">
        <f t="shared" si="7"/>
        <v/>
      </c>
      <c r="B503" s="24"/>
      <c r="C503" s="25"/>
    </row>
    <row r="504" spans="1:3" x14ac:dyDescent="0.3">
      <c r="A504" s="10" t="str">
        <f t="shared" si="7"/>
        <v/>
      </c>
      <c r="B504" s="24"/>
      <c r="C504" s="25"/>
    </row>
    <row r="505" spans="1:3" x14ac:dyDescent="0.3">
      <c r="A505" s="10" t="str">
        <f t="shared" si="7"/>
        <v/>
      </c>
      <c r="B505" s="24"/>
      <c r="C505" s="25"/>
    </row>
    <row r="506" spans="1:3" x14ac:dyDescent="0.3">
      <c r="A506" s="10" t="str">
        <f t="shared" si="7"/>
        <v/>
      </c>
      <c r="B506" s="24"/>
      <c r="C506" s="25"/>
    </row>
    <row r="507" spans="1:3" x14ac:dyDescent="0.3">
      <c r="A507" s="10" t="str">
        <f t="shared" si="7"/>
        <v/>
      </c>
      <c r="B507" s="24"/>
      <c r="C507" s="25"/>
    </row>
    <row r="508" spans="1:3" x14ac:dyDescent="0.3">
      <c r="A508" s="10" t="str">
        <f t="shared" si="7"/>
        <v/>
      </c>
      <c r="B508" s="24"/>
      <c r="C508" s="25"/>
    </row>
    <row r="509" spans="1:3" x14ac:dyDescent="0.3">
      <c r="A509" s="10" t="str">
        <f t="shared" si="7"/>
        <v/>
      </c>
      <c r="B509" s="24"/>
      <c r="C509" s="25"/>
    </row>
    <row r="510" spans="1:3" x14ac:dyDescent="0.3">
      <c r="A510" s="10" t="str">
        <f t="shared" si="7"/>
        <v/>
      </c>
      <c r="B510" s="24"/>
      <c r="C510" s="25"/>
    </row>
    <row r="511" spans="1:3" x14ac:dyDescent="0.3">
      <c r="A511" s="10" t="str">
        <f t="shared" si="7"/>
        <v/>
      </c>
      <c r="B511" s="24"/>
      <c r="C511" s="25"/>
    </row>
    <row r="512" spans="1:3" x14ac:dyDescent="0.3">
      <c r="A512" s="10" t="str">
        <f t="shared" si="7"/>
        <v/>
      </c>
      <c r="B512" s="24"/>
      <c r="C512" s="25"/>
    </row>
    <row r="513" spans="1:3" x14ac:dyDescent="0.3">
      <c r="A513" s="10" t="str">
        <f t="shared" si="7"/>
        <v/>
      </c>
      <c r="B513" s="24"/>
      <c r="C513" s="25"/>
    </row>
    <row r="514" spans="1:3" x14ac:dyDescent="0.3">
      <c r="A514" s="10" t="str">
        <f t="shared" si="7"/>
        <v/>
      </c>
      <c r="B514" s="24"/>
      <c r="C514" s="25"/>
    </row>
    <row r="515" spans="1:3" x14ac:dyDescent="0.3">
      <c r="A515" s="10" t="str">
        <f t="shared" si="7"/>
        <v/>
      </c>
      <c r="B515" s="24"/>
      <c r="C515" s="25"/>
    </row>
    <row r="516" spans="1:3" x14ac:dyDescent="0.3">
      <c r="A516" s="10" t="str">
        <f t="shared" si="7"/>
        <v/>
      </c>
      <c r="B516" s="24"/>
      <c r="C516" s="25"/>
    </row>
    <row r="517" spans="1:3" x14ac:dyDescent="0.3">
      <c r="A517" s="10" t="str">
        <f t="shared" si="7"/>
        <v/>
      </c>
      <c r="B517" s="24"/>
      <c r="C517" s="25"/>
    </row>
    <row r="518" spans="1:3" x14ac:dyDescent="0.3">
      <c r="A518" s="10" t="str">
        <f t="shared" si="7"/>
        <v/>
      </c>
      <c r="B518" s="24"/>
      <c r="C518" s="25"/>
    </row>
    <row r="519" spans="1:3" x14ac:dyDescent="0.3">
      <c r="A519" s="10" t="str">
        <f t="shared" si="7"/>
        <v/>
      </c>
      <c r="B519" s="24"/>
      <c r="C519" s="25"/>
    </row>
    <row r="520" spans="1:3" x14ac:dyDescent="0.3">
      <c r="A520" s="10" t="str">
        <f t="shared" si="7"/>
        <v/>
      </c>
      <c r="B520" s="24"/>
      <c r="C520" s="25"/>
    </row>
    <row r="521" spans="1:3" x14ac:dyDescent="0.3">
      <c r="A521" s="10" t="str">
        <f t="shared" si="7"/>
        <v/>
      </c>
      <c r="B521" s="24"/>
      <c r="C521" s="25"/>
    </row>
    <row r="522" spans="1:3" x14ac:dyDescent="0.3">
      <c r="A522" s="10" t="str">
        <f t="shared" si="7"/>
        <v/>
      </c>
      <c r="B522" s="24"/>
      <c r="C522" s="25"/>
    </row>
    <row r="523" spans="1:3" x14ac:dyDescent="0.3">
      <c r="A523" s="10" t="str">
        <f t="shared" ref="A523:A586" si="8">IF(COUNT(B523:C523) =2,ROWS(A523:A523)+522:522,"")</f>
        <v/>
      </c>
      <c r="B523" s="24"/>
      <c r="C523" s="25"/>
    </row>
    <row r="524" spans="1:3" x14ac:dyDescent="0.3">
      <c r="A524" s="10" t="str">
        <f t="shared" si="8"/>
        <v/>
      </c>
      <c r="B524" s="24"/>
      <c r="C524" s="25"/>
    </row>
    <row r="525" spans="1:3" x14ac:dyDescent="0.3">
      <c r="A525" s="10" t="str">
        <f t="shared" si="8"/>
        <v/>
      </c>
      <c r="B525" s="24"/>
      <c r="C525" s="25"/>
    </row>
    <row r="526" spans="1:3" x14ac:dyDescent="0.3">
      <c r="A526" s="10" t="str">
        <f t="shared" si="8"/>
        <v/>
      </c>
      <c r="B526" s="24"/>
      <c r="C526" s="25"/>
    </row>
    <row r="527" spans="1:3" x14ac:dyDescent="0.3">
      <c r="A527" s="10" t="str">
        <f t="shared" si="8"/>
        <v/>
      </c>
      <c r="B527" s="24"/>
      <c r="C527" s="25"/>
    </row>
    <row r="528" spans="1:3" x14ac:dyDescent="0.3">
      <c r="A528" s="10" t="str">
        <f t="shared" si="8"/>
        <v/>
      </c>
      <c r="B528" s="24"/>
      <c r="C528" s="25"/>
    </row>
    <row r="529" spans="1:3" x14ac:dyDescent="0.3">
      <c r="A529" s="10" t="str">
        <f t="shared" si="8"/>
        <v/>
      </c>
      <c r="B529" s="24"/>
      <c r="C529" s="25"/>
    </row>
    <row r="530" spans="1:3" x14ac:dyDescent="0.3">
      <c r="A530" s="10" t="str">
        <f t="shared" si="8"/>
        <v/>
      </c>
      <c r="B530" s="24"/>
      <c r="C530" s="25"/>
    </row>
    <row r="531" spans="1:3" x14ac:dyDescent="0.3">
      <c r="A531" s="10" t="str">
        <f t="shared" si="8"/>
        <v/>
      </c>
      <c r="B531" s="24"/>
      <c r="C531" s="25"/>
    </row>
    <row r="532" spans="1:3" x14ac:dyDescent="0.3">
      <c r="A532" s="10" t="str">
        <f t="shared" si="8"/>
        <v/>
      </c>
      <c r="B532" s="24"/>
      <c r="C532" s="25"/>
    </row>
    <row r="533" spans="1:3" x14ac:dyDescent="0.3">
      <c r="A533" s="10" t="str">
        <f t="shared" si="8"/>
        <v/>
      </c>
      <c r="B533" s="24"/>
      <c r="C533" s="25"/>
    </row>
    <row r="534" spans="1:3" x14ac:dyDescent="0.3">
      <c r="A534" s="10" t="str">
        <f t="shared" si="8"/>
        <v/>
      </c>
      <c r="B534" s="24"/>
      <c r="C534" s="25"/>
    </row>
    <row r="535" spans="1:3" x14ac:dyDescent="0.3">
      <c r="A535" s="10" t="str">
        <f t="shared" si="8"/>
        <v/>
      </c>
      <c r="B535" s="24"/>
      <c r="C535" s="25"/>
    </row>
    <row r="536" spans="1:3" x14ac:dyDescent="0.3">
      <c r="A536" s="10" t="str">
        <f t="shared" si="8"/>
        <v/>
      </c>
      <c r="B536" s="24"/>
      <c r="C536" s="25"/>
    </row>
    <row r="537" spans="1:3" x14ac:dyDescent="0.3">
      <c r="A537" s="10" t="str">
        <f t="shared" si="8"/>
        <v/>
      </c>
      <c r="B537" s="24"/>
      <c r="C537" s="25"/>
    </row>
    <row r="538" spans="1:3" x14ac:dyDescent="0.3">
      <c r="A538" s="10" t="str">
        <f t="shared" si="8"/>
        <v/>
      </c>
      <c r="B538" s="24"/>
      <c r="C538" s="25"/>
    </row>
    <row r="539" spans="1:3" x14ac:dyDescent="0.3">
      <c r="A539" s="10" t="str">
        <f t="shared" si="8"/>
        <v/>
      </c>
      <c r="B539" s="24"/>
      <c r="C539" s="25"/>
    </row>
    <row r="540" spans="1:3" x14ac:dyDescent="0.3">
      <c r="A540" s="10" t="str">
        <f t="shared" si="8"/>
        <v/>
      </c>
      <c r="B540" s="24"/>
      <c r="C540" s="25"/>
    </row>
    <row r="541" spans="1:3" x14ac:dyDescent="0.3">
      <c r="A541" s="10" t="str">
        <f t="shared" si="8"/>
        <v/>
      </c>
      <c r="B541" s="24"/>
      <c r="C541" s="25"/>
    </row>
    <row r="542" spans="1:3" x14ac:dyDescent="0.3">
      <c r="A542" s="10" t="str">
        <f t="shared" si="8"/>
        <v/>
      </c>
      <c r="B542" s="24"/>
      <c r="C542" s="25"/>
    </row>
    <row r="543" spans="1:3" x14ac:dyDescent="0.3">
      <c r="A543" s="10" t="str">
        <f t="shared" si="8"/>
        <v/>
      </c>
      <c r="B543" s="24"/>
      <c r="C543" s="25"/>
    </row>
    <row r="544" spans="1:3" x14ac:dyDescent="0.3">
      <c r="A544" s="10" t="str">
        <f t="shared" si="8"/>
        <v/>
      </c>
      <c r="B544" s="24"/>
      <c r="C544" s="25"/>
    </row>
    <row r="545" spans="1:3" x14ac:dyDescent="0.3">
      <c r="A545" s="10" t="str">
        <f t="shared" si="8"/>
        <v/>
      </c>
      <c r="B545" s="24"/>
      <c r="C545" s="25"/>
    </row>
    <row r="546" spans="1:3" x14ac:dyDescent="0.3">
      <c r="A546" s="10" t="str">
        <f t="shared" si="8"/>
        <v/>
      </c>
      <c r="B546" s="24"/>
      <c r="C546" s="25"/>
    </row>
    <row r="547" spans="1:3" x14ac:dyDescent="0.3">
      <c r="A547" s="10" t="str">
        <f t="shared" si="8"/>
        <v/>
      </c>
      <c r="B547" s="24"/>
      <c r="C547" s="25"/>
    </row>
    <row r="548" spans="1:3" x14ac:dyDescent="0.3">
      <c r="A548" s="10" t="str">
        <f t="shared" si="8"/>
        <v/>
      </c>
      <c r="B548" s="24"/>
      <c r="C548" s="25"/>
    </row>
    <row r="549" spans="1:3" x14ac:dyDescent="0.3">
      <c r="A549" s="10" t="str">
        <f t="shared" si="8"/>
        <v/>
      </c>
      <c r="B549" s="24"/>
      <c r="C549" s="25"/>
    </row>
    <row r="550" spans="1:3" x14ac:dyDescent="0.3">
      <c r="A550" s="10" t="str">
        <f t="shared" si="8"/>
        <v/>
      </c>
      <c r="B550" s="24"/>
      <c r="C550" s="25"/>
    </row>
    <row r="551" spans="1:3" x14ac:dyDescent="0.3">
      <c r="A551" s="10" t="str">
        <f t="shared" si="8"/>
        <v/>
      </c>
      <c r="B551" s="24"/>
      <c r="C551" s="25"/>
    </row>
    <row r="552" spans="1:3" x14ac:dyDescent="0.3">
      <c r="A552" s="10" t="str">
        <f t="shared" si="8"/>
        <v/>
      </c>
      <c r="B552" s="24"/>
      <c r="C552" s="25"/>
    </row>
    <row r="553" spans="1:3" x14ac:dyDescent="0.3">
      <c r="A553" s="10" t="str">
        <f t="shared" si="8"/>
        <v/>
      </c>
      <c r="B553" s="24"/>
      <c r="C553" s="25"/>
    </row>
    <row r="554" spans="1:3" x14ac:dyDescent="0.3">
      <c r="A554" s="10" t="str">
        <f t="shared" si="8"/>
        <v/>
      </c>
      <c r="B554" s="24"/>
      <c r="C554" s="25"/>
    </row>
    <row r="555" spans="1:3" x14ac:dyDescent="0.3">
      <c r="A555" s="10" t="str">
        <f t="shared" si="8"/>
        <v/>
      </c>
      <c r="B555" s="24"/>
      <c r="C555" s="25"/>
    </row>
    <row r="556" spans="1:3" x14ac:dyDescent="0.3">
      <c r="A556" s="10" t="str">
        <f t="shared" si="8"/>
        <v/>
      </c>
      <c r="B556" s="24"/>
      <c r="C556" s="25"/>
    </row>
    <row r="557" spans="1:3" x14ac:dyDescent="0.3">
      <c r="A557" s="10" t="str">
        <f t="shared" si="8"/>
        <v/>
      </c>
      <c r="B557" s="24"/>
      <c r="C557" s="25"/>
    </row>
    <row r="558" spans="1:3" x14ac:dyDescent="0.3">
      <c r="A558" s="10" t="str">
        <f t="shared" si="8"/>
        <v/>
      </c>
      <c r="B558" s="24"/>
      <c r="C558" s="25"/>
    </row>
    <row r="559" spans="1:3" x14ac:dyDescent="0.3">
      <c r="A559" s="10" t="str">
        <f t="shared" si="8"/>
        <v/>
      </c>
      <c r="B559" s="24"/>
      <c r="C559" s="25"/>
    </row>
    <row r="560" spans="1:3" x14ac:dyDescent="0.3">
      <c r="A560" s="10" t="str">
        <f t="shared" si="8"/>
        <v/>
      </c>
      <c r="B560" s="24"/>
      <c r="C560" s="25"/>
    </row>
    <row r="561" spans="1:3" x14ac:dyDescent="0.3">
      <c r="A561" s="10" t="str">
        <f t="shared" si="8"/>
        <v/>
      </c>
      <c r="B561" s="24"/>
      <c r="C561" s="25"/>
    </row>
    <row r="562" spans="1:3" x14ac:dyDescent="0.3">
      <c r="A562" s="10" t="str">
        <f t="shared" si="8"/>
        <v/>
      </c>
      <c r="B562" s="24"/>
      <c r="C562" s="25"/>
    </row>
    <row r="563" spans="1:3" x14ac:dyDescent="0.3">
      <c r="A563" s="10" t="str">
        <f t="shared" si="8"/>
        <v/>
      </c>
      <c r="B563" s="24"/>
      <c r="C563" s="25"/>
    </row>
    <row r="564" spans="1:3" x14ac:dyDescent="0.3">
      <c r="A564" s="10" t="str">
        <f t="shared" si="8"/>
        <v/>
      </c>
      <c r="B564" s="24"/>
      <c r="C564" s="25"/>
    </row>
    <row r="565" spans="1:3" x14ac:dyDescent="0.3">
      <c r="A565" s="10" t="str">
        <f t="shared" si="8"/>
        <v/>
      </c>
      <c r="B565" s="24"/>
      <c r="C565" s="25"/>
    </row>
    <row r="566" spans="1:3" x14ac:dyDescent="0.3">
      <c r="A566" s="10" t="str">
        <f t="shared" si="8"/>
        <v/>
      </c>
      <c r="B566" s="24"/>
      <c r="C566" s="25"/>
    </row>
    <row r="567" spans="1:3" x14ac:dyDescent="0.3">
      <c r="A567" s="10" t="str">
        <f t="shared" si="8"/>
        <v/>
      </c>
      <c r="B567" s="24"/>
      <c r="C567" s="25"/>
    </row>
    <row r="568" spans="1:3" x14ac:dyDescent="0.3">
      <c r="A568" s="10" t="str">
        <f t="shared" si="8"/>
        <v/>
      </c>
      <c r="B568" s="24"/>
      <c r="C568" s="25"/>
    </row>
    <row r="569" spans="1:3" x14ac:dyDescent="0.3">
      <c r="A569" s="10" t="str">
        <f t="shared" si="8"/>
        <v/>
      </c>
      <c r="B569" s="24"/>
      <c r="C569" s="25"/>
    </row>
    <row r="570" spans="1:3" x14ac:dyDescent="0.3">
      <c r="A570" s="10" t="str">
        <f t="shared" si="8"/>
        <v/>
      </c>
      <c r="B570" s="24"/>
      <c r="C570" s="25"/>
    </row>
    <row r="571" spans="1:3" x14ac:dyDescent="0.3">
      <c r="A571" s="10" t="str">
        <f t="shared" si="8"/>
        <v/>
      </c>
      <c r="B571" s="24"/>
      <c r="C571" s="25"/>
    </row>
    <row r="572" spans="1:3" x14ac:dyDescent="0.3">
      <c r="A572" s="10" t="str">
        <f t="shared" si="8"/>
        <v/>
      </c>
      <c r="B572" s="24"/>
      <c r="C572" s="25"/>
    </row>
    <row r="573" spans="1:3" x14ac:dyDescent="0.3">
      <c r="A573" s="10" t="str">
        <f t="shared" si="8"/>
        <v/>
      </c>
      <c r="B573" s="24"/>
      <c r="C573" s="25"/>
    </row>
    <row r="574" spans="1:3" x14ac:dyDescent="0.3">
      <c r="A574" s="10" t="str">
        <f t="shared" si="8"/>
        <v/>
      </c>
      <c r="B574" s="24"/>
      <c r="C574" s="25"/>
    </row>
    <row r="575" spans="1:3" x14ac:dyDescent="0.3">
      <c r="A575" s="10" t="str">
        <f t="shared" si="8"/>
        <v/>
      </c>
      <c r="B575" s="24"/>
      <c r="C575" s="25"/>
    </row>
    <row r="576" spans="1:3" x14ac:dyDescent="0.3">
      <c r="A576" s="10" t="str">
        <f t="shared" si="8"/>
        <v/>
      </c>
      <c r="B576" s="24"/>
      <c r="C576" s="25"/>
    </row>
    <row r="577" spans="1:3" x14ac:dyDescent="0.3">
      <c r="A577" s="10" t="str">
        <f t="shared" si="8"/>
        <v/>
      </c>
      <c r="B577" s="24"/>
      <c r="C577" s="25"/>
    </row>
    <row r="578" spans="1:3" x14ac:dyDescent="0.3">
      <c r="A578" s="10" t="str">
        <f t="shared" si="8"/>
        <v/>
      </c>
      <c r="B578" s="24"/>
      <c r="C578" s="25"/>
    </row>
    <row r="579" spans="1:3" x14ac:dyDescent="0.3">
      <c r="A579" s="10" t="str">
        <f t="shared" si="8"/>
        <v/>
      </c>
      <c r="B579" s="24"/>
      <c r="C579" s="25"/>
    </row>
    <row r="580" spans="1:3" x14ac:dyDescent="0.3">
      <c r="A580" s="10" t="str">
        <f t="shared" si="8"/>
        <v/>
      </c>
      <c r="B580" s="24"/>
      <c r="C580" s="25"/>
    </row>
    <row r="581" spans="1:3" x14ac:dyDescent="0.3">
      <c r="A581" s="10" t="str">
        <f t="shared" si="8"/>
        <v/>
      </c>
      <c r="B581" s="24"/>
      <c r="C581" s="25"/>
    </row>
    <row r="582" spans="1:3" x14ac:dyDescent="0.3">
      <c r="A582" s="10" t="str">
        <f t="shared" si="8"/>
        <v/>
      </c>
      <c r="B582" s="24"/>
      <c r="C582" s="25"/>
    </row>
    <row r="583" spans="1:3" x14ac:dyDescent="0.3">
      <c r="A583" s="10" t="str">
        <f t="shared" si="8"/>
        <v/>
      </c>
      <c r="B583" s="24"/>
      <c r="C583" s="25"/>
    </row>
    <row r="584" spans="1:3" x14ac:dyDescent="0.3">
      <c r="A584" s="10" t="str">
        <f t="shared" si="8"/>
        <v/>
      </c>
      <c r="B584" s="24"/>
      <c r="C584" s="25"/>
    </row>
    <row r="585" spans="1:3" x14ac:dyDescent="0.3">
      <c r="A585" s="10" t="str">
        <f t="shared" si="8"/>
        <v/>
      </c>
      <c r="B585" s="24"/>
      <c r="C585" s="25"/>
    </row>
    <row r="586" spans="1:3" x14ac:dyDescent="0.3">
      <c r="A586" s="10" t="str">
        <f t="shared" si="8"/>
        <v/>
      </c>
      <c r="B586" s="24"/>
      <c r="C586" s="25"/>
    </row>
    <row r="587" spans="1:3" x14ac:dyDescent="0.3">
      <c r="A587" s="10" t="str">
        <f t="shared" ref="A587:A650" si="9">IF(COUNT(B587:C587) =2,ROWS(A587:A587)+586:586,"")</f>
        <v/>
      </c>
      <c r="B587" s="24"/>
      <c r="C587" s="25"/>
    </row>
    <row r="588" spans="1:3" x14ac:dyDescent="0.3">
      <c r="A588" s="10" t="str">
        <f t="shared" si="9"/>
        <v/>
      </c>
      <c r="B588" s="24"/>
      <c r="C588" s="25"/>
    </row>
    <row r="589" spans="1:3" x14ac:dyDescent="0.3">
      <c r="A589" s="10" t="str">
        <f t="shared" si="9"/>
        <v/>
      </c>
      <c r="B589" s="24"/>
      <c r="C589" s="25"/>
    </row>
    <row r="590" spans="1:3" x14ac:dyDescent="0.3">
      <c r="A590" s="10" t="str">
        <f t="shared" si="9"/>
        <v/>
      </c>
      <c r="B590" s="24"/>
      <c r="C590" s="25"/>
    </row>
    <row r="591" spans="1:3" x14ac:dyDescent="0.3">
      <c r="A591" s="10" t="str">
        <f t="shared" si="9"/>
        <v/>
      </c>
      <c r="B591" s="24"/>
      <c r="C591" s="25"/>
    </row>
    <row r="592" spans="1:3" x14ac:dyDescent="0.3">
      <c r="A592" s="10" t="str">
        <f t="shared" si="9"/>
        <v/>
      </c>
      <c r="B592" s="24"/>
      <c r="C592" s="25"/>
    </row>
    <row r="593" spans="1:3" x14ac:dyDescent="0.3">
      <c r="A593" s="10" t="str">
        <f t="shared" si="9"/>
        <v/>
      </c>
      <c r="B593" s="24"/>
      <c r="C593" s="25"/>
    </row>
    <row r="594" spans="1:3" x14ac:dyDescent="0.3">
      <c r="A594" s="10" t="str">
        <f t="shared" si="9"/>
        <v/>
      </c>
      <c r="B594" s="24"/>
      <c r="C594" s="25"/>
    </row>
    <row r="595" spans="1:3" x14ac:dyDescent="0.3">
      <c r="A595" s="10" t="str">
        <f t="shared" si="9"/>
        <v/>
      </c>
      <c r="B595" s="24"/>
      <c r="C595" s="25"/>
    </row>
    <row r="596" spans="1:3" x14ac:dyDescent="0.3">
      <c r="A596" s="10" t="str">
        <f t="shared" si="9"/>
        <v/>
      </c>
      <c r="B596" s="24"/>
      <c r="C596" s="25"/>
    </row>
    <row r="597" spans="1:3" x14ac:dyDescent="0.3">
      <c r="A597" s="10" t="str">
        <f t="shared" si="9"/>
        <v/>
      </c>
      <c r="B597" s="24"/>
      <c r="C597" s="25"/>
    </row>
    <row r="598" spans="1:3" x14ac:dyDescent="0.3">
      <c r="A598" s="10" t="str">
        <f t="shared" si="9"/>
        <v/>
      </c>
      <c r="B598" s="24"/>
      <c r="C598" s="25"/>
    </row>
    <row r="599" spans="1:3" x14ac:dyDescent="0.3">
      <c r="A599" s="10" t="str">
        <f t="shared" si="9"/>
        <v/>
      </c>
      <c r="B599" s="24"/>
      <c r="C599" s="25"/>
    </row>
    <row r="600" spans="1:3" x14ac:dyDescent="0.3">
      <c r="A600" s="10" t="str">
        <f t="shared" si="9"/>
        <v/>
      </c>
      <c r="B600" s="24"/>
      <c r="C600" s="25"/>
    </row>
    <row r="601" spans="1:3" x14ac:dyDescent="0.3">
      <c r="A601" s="10" t="str">
        <f t="shared" si="9"/>
        <v/>
      </c>
      <c r="B601" s="24"/>
      <c r="C601" s="25"/>
    </row>
    <row r="602" spans="1:3" x14ac:dyDescent="0.3">
      <c r="A602" s="10" t="str">
        <f t="shared" si="9"/>
        <v/>
      </c>
      <c r="B602" s="24"/>
      <c r="C602" s="25"/>
    </row>
    <row r="603" spans="1:3" x14ac:dyDescent="0.3">
      <c r="A603" s="10" t="str">
        <f t="shared" si="9"/>
        <v/>
      </c>
      <c r="B603" s="24"/>
      <c r="C603" s="25"/>
    </row>
    <row r="604" spans="1:3" x14ac:dyDescent="0.3">
      <c r="A604" s="10" t="str">
        <f t="shared" si="9"/>
        <v/>
      </c>
      <c r="B604" s="24"/>
      <c r="C604" s="25"/>
    </row>
    <row r="605" spans="1:3" x14ac:dyDescent="0.3">
      <c r="A605" s="10" t="str">
        <f t="shared" si="9"/>
        <v/>
      </c>
      <c r="B605" s="24"/>
      <c r="C605" s="25"/>
    </row>
    <row r="606" spans="1:3" x14ac:dyDescent="0.3">
      <c r="A606" s="10" t="str">
        <f t="shared" si="9"/>
        <v/>
      </c>
      <c r="B606" s="24"/>
      <c r="C606" s="25"/>
    </row>
    <row r="607" spans="1:3" x14ac:dyDescent="0.3">
      <c r="A607" s="10" t="str">
        <f t="shared" si="9"/>
        <v/>
      </c>
      <c r="B607" s="24"/>
      <c r="C607" s="25"/>
    </row>
    <row r="608" spans="1:3" x14ac:dyDescent="0.3">
      <c r="A608" s="10" t="str">
        <f t="shared" si="9"/>
        <v/>
      </c>
      <c r="B608" s="24"/>
      <c r="C608" s="25"/>
    </row>
    <row r="609" spans="1:3" x14ac:dyDescent="0.3">
      <c r="A609" s="10" t="str">
        <f t="shared" si="9"/>
        <v/>
      </c>
      <c r="B609" s="24"/>
      <c r="C609" s="25"/>
    </row>
    <row r="610" spans="1:3" x14ac:dyDescent="0.3">
      <c r="A610" s="10" t="str">
        <f t="shared" si="9"/>
        <v/>
      </c>
      <c r="B610" s="24"/>
      <c r="C610" s="25"/>
    </row>
    <row r="611" spans="1:3" x14ac:dyDescent="0.3">
      <c r="A611" s="10" t="str">
        <f t="shared" si="9"/>
        <v/>
      </c>
      <c r="B611" s="24"/>
      <c r="C611" s="25"/>
    </row>
    <row r="612" spans="1:3" x14ac:dyDescent="0.3">
      <c r="A612" s="10" t="str">
        <f t="shared" si="9"/>
        <v/>
      </c>
      <c r="B612" s="24"/>
      <c r="C612" s="25"/>
    </row>
    <row r="613" spans="1:3" x14ac:dyDescent="0.3">
      <c r="A613" s="10" t="str">
        <f t="shared" si="9"/>
        <v/>
      </c>
      <c r="B613" s="24"/>
      <c r="C613" s="25"/>
    </row>
    <row r="614" spans="1:3" x14ac:dyDescent="0.3">
      <c r="A614" s="10" t="str">
        <f t="shared" si="9"/>
        <v/>
      </c>
      <c r="B614" s="24"/>
      <c r="C614" s="25"/>
    </row>
    <row r="615" spans="1:3" x14ac:dyDescent="0.3">
      <c r="A615" s="10" t="str">
        <f t="shared" si="9"/>
        <v/>
      </c>
      <c r="B615" s="24"/>
      <c r="C615" s="25"/>
    </row>
    <row r="616" spans="1:3" x14ac:dyDescent="0.3">
      <c r="A616" s="10" t="str">
        <f t="shared" si="9"/>
        <v/>
      </c>
      <c r="B616" s="24"/>
      <c r="C616" s="25"/>
    </row>
    <row r="617" spans="1:3" x14ac:dyDescent="0.3">
      <c r="A617" s="10" t="str">
        <f t="shared" si="9"/>
        <v/>
      </c>
      <c r="B617" s="24"/>
      <c r="C617" s="25"/>
    </row>
    <row r="618" spans="1:3" x14ac:dyDescent="0.3">
      <c r="A618" s="10" t="str">
        <f t="shared" si="9"/>
        <v/>
      </c>
      <c r="B618" s="24"/>
      <c r="C618" s="25"/>
    </row>
    <row r="619" spans="1:3" x14ac:dyDescent="0.3">
      <c r="A619" s="10" t="str">
        <f t="shared" si="9"/>
        <v/>
      </c>
      <c r="B619" s="24"/>
      <c r="C619" s="25"/>
    </row>
    <row r="620" spans="1:3" x14ac:dyDescent="0.3">
      <c r="A620" s="10" t="str">
        <f t="shared" si="9"/>
        <v/>
      </c>
      <c r="B620" s="24"/>
      <c r="C620" s="25"/>
    </row>
    <row r="621" spans="1:3" x14ac:dyDescent="0.3">
      <c r="A621" s="10" t="str">
        <f t="shared" si="9"/>
        <v/>
      </c>
      <c r="B621" s="24"/>
      <c r="C621" s="25"/>
    </row>
    <row r="622" spans="1:3" x14ac:dyDescent="0.3">
      <c r="A622" s="10" t="str">
        <f t="shared" si="9"/>
        <v/>
      </c>
      <c r="B622" s="24"/>
      <c r="C622" s="25"/>
    </row>
    <row r="623" spans="1:3" x14ac:dyDescent="0.3">
      <c r="A623" s="10" t="str">
        <f t="shared" si="9"/>
        <v/>
      </c>
      <c r="B623" s="24"/>
      <c r="C623" s="25"/>
    </row>
    <row r="624" spans="1:3" x14ac:dyDescent="0.3">
      <c r="A624" s="10" t="str">
        <f t="shared" si="9"/>
        <v/>
      </c>
      <c r="B624" s="24"/>
      <c r="C624" s="25"/>
    </row>
    <row r="625" spans="1:3" x14ac:dyDescent="0.3">
      <c r="A625" s="10" t="str">
        <f t="shared" si="9"/>
        <v/>
      </c>
      <c r="B625" s="24"/>
      <c r="C625" s="25"/>
    </row>
    <row r="626" spans="1:3" x14ac:dyDescent="0.3">
      <c r="A626" s="10" t="str">
        <f t="shared" si="9"/>
        <v/>
      </c>
      <c r="B626" s="24"/>
      <c r="C626" s="25"/>
    </row>
    <row r="627" spans="1:3" x14ac:dyDescent="0.3">
      <c r="A627" s="10" t="str">
        <f t="shared" si="9"/>
        <v/>
      </c>
      <c r="B627" s="24"/>
      <c r="C627" s="25"/>
    </row>
    <row r="628" spans="1:3" x14ac:dyDescent="0.3">
      <c r="A628" s="10" t="str">
        <f t="shared" si="9"/>
        <v/>
      </c>
      <c r="B628" s="24"/>
      <c r="C628" s="25"/>
    </row>
    <row r="629" spans="1:3" x14ac:dyDescent="0.3">
      <c r="A629" s="10" t="str">
        <f t="shared" si="9"/>
        <v/>
      </c>
      <c r="B629" s="24"/>
      <c r="C629" s="25"/>
    </row>
    <row r="630" spans="1:3" x14ac:dyDescent="0.3">
      <c r="A630" s="10" t="str">
        <f t="shared" si="9"/>
        <v/>
      </c>
      <c r="B630" s="24"/>
      <c r="C630" s="25"/>
    </row>
    <row r="631" spans="1:3" x14ac:dyDescent="0.3">
      <c r="A631" s="10" t="str">
        <f t="shared" si="9"/>
        <v/>
      </c>
      <c r="B631" s="24"/>
      <c r="C631" s="25"/>
    </row>
    <row r="632" spans="1:3" x14ac:dyDescent="0.3">
      <c r="A632" s="10" t="str">
        <f t="shared" si="9"/>
        <v/>
      </c>
      <c r="B632" s="24"/>
      <c r="C632" s="25"/>
    </row>
    <row r="633" spans="1:3" x14ac:dyDescent="0.3">
      <c r="A633" s="10" t="str">
        <f t="shared" si="9"/>
        <v/>
      </c>
      <c r="B633" s="24"/>
      <c r="C633" s="25"/>
    </row>
    <row r="634" spans="1:3" x14ac:dyDescent="0.3">
      <c r="A634" s="10" t="str">
        <f t="shared" si="9"/>
        <v/>
      </c>
      <c r="B634" s="24"/>
      <c r="C634" s="25"/>
    </row>
    <row r="635" spans="1:3" x14ac:dyDescent="0.3">
      <c r="A635" s="10" t="str">
        <f t="shared" si="9"/>
        <v/>
      </c>
      <c r="B635" s="24"/>
      <c r="C635" s="25"/>
    </row>
    <row r="636" spans="1:3" x14ac:dyDescent="0.3">
      <c r="A636" s="10" t="str">
        <f t="shared" si="9"/>
        <v/>
      </c>
      <c r="B636" s="24"/>
      <c r="C636" s="25"/>
    </row>
    <row r="637" spans="1:3" x14ac:dyDescent="0.3">
      <c r="A637" s="10" t="str">
        <f t="shared" si="9"/>
        <v/>
      </c>
      <c r="B637" s="24"/>
      <c r="C637" s="25"/>
    </row>
    <row r="638" spans="1:3" x14ac:dyDescent="0.3">
      <c r="A638" s="10" t="str">
        <f t="shared" si="9"/>
        <v/>
      </c>
      <c r="B638" s="24"/>
      <c r="C638" s="25"/>
    </row>
    <row r="639" spans="1:3" x14ac:dyDescent="0.3">
      <c r="A639" s="10" t="str">
        <f t="shared" si="9"/>
        <v/>
      </c>
      <c r="B639" s="24"/>
      <c r="C639" s="25"/>
    </row>
    <row r="640" spans="1:3" x14ac:dyDescent="0.3">
      <c r="A640" s="10" t="str">
        <f t="shared" si="9"/>
        <v/>
      </c>
      <c r="B640" s="24"/>
      <c r="C640" s="25"/>
    </row>
    <row r="641" spans="1:3" x14ac:dyDescent="0.3">
      <c r="A641" s="10" t="str">
        <f t="shared" si="9"/>
        <v/>
      </c>
      <c r="B641" s="24"/>
      <c r="C641" s="25"/>
    </row>
    <row r="642" spans="1:3" x14ac:dyDescent="0.3">
      <c r="A642" s="10" t="str">
        <f t="shared" si="9"/>
        <v/>
      </c>
      <c r="B642" s="24"/>
      <c r="C642" s="25"/>
    </row>
    <row r="643" spans="1:3" x14ac:dyDescent="0.3">
      <c r="A643" s="10" t="str">
        <f t="shared" si="9"/>
        <v/>
      </c>
      <c r="B643" s="24"/>
      <c r="C643" s="25"/>
    </row>
    <row r="644" spans="1:3" x14ac:dyDescent="0.3">
      <c r="A644" s="10" t="str">
        <f t="shared" si="9"/>
        <v/>
      </c>
      <c r="B644" s="24"/>
      <c r="C644" s="25"/>
    </row>
    <row r="645" spans="1:3" x14ac:dyDescent="0.3">
      <c r="A645" s="10" t="str">
        <f t="shared" si="9"/>
        <v/>
      </c>
      <c r="B645" s="24"/>
      <c r="C645" s="25"/>
    </row>
    <row r="646" spans="1:3" x14ac:dyDescent="0.3">
      <c r="A646" s="10" t="str">
        <f t="shared" si="9"/>
        <v/>
      </c>
      <c r="B646" s="24"/>
      <c r="C646" s="25"/>
    </row>
    <row r="647" spans="1:3" x14ac:dyDescent="0.3">
      <c r="A647" s="10" t="str">
        <f t="shared" si="9"/>
        <v/>
      </c>
      <c r="B647" s="24"/>
      <c r="C647" s="25"/>
    </row>
    <row r="648" spans="1:3" x14ac:dyDescent="0.3">
      <c r="A648" s="10" t="str">
        <f t="shared" si="9"/>
        <v/>
      </c>
      <c r="B648" s="24"/>
      <c r="C648" s="25"/>
    </row>
    <row r="649" spans="1:3" x14ac:dyDescent="0.3">
      <c r="A649" s="10" t="str">
        <f t="shared" si="9"/>
        <v/>
      </c>
      <c r="B649" s="24"/>
      <c r="C649" s="25"/>
    </row>
    <row r="650" spans="1:3" x14ac:dyDescent="0.3">
      <c r="A650" s="10" t="str">
        <f t="shared" si="9"/>
        <v/>
      </c>
      <c r="B650" s="24"/>
      <c r="C650" s="25"/>
    </row>
    <row r="651" spans="1:3" x14ac:dyDescent="0.3">
      <c r="A651" s="10" t="str">
        <f t="shared" ref="A651:A714" si="10">IF(COUNT(B651:C651) =2,ROWS(A651:A651)+650:650,"")</f>
        <v/>
      </c>
      <c r="B651" s="24"/>
      <c r="C651" s="25"/>
    </row>
    <row r="652" spans="1:3" x14ac:dyDescent="0.3">
      <c r="A652" s="10" t="str">
        <f t="shared" si="10"/>
        <v/>
      </c>
      <c r="B652" s="24"/>
      <c r="C652" s="25"/>
    </row>
    <row r="653" spans="1:3" x14ac:dyDescent="0.3">
      <c r="A653" s="10" t="str">
        <f t="shared" si="10"/>
        <v/>
      </c>
      <c r="B653" s="24"/>
      <c r="C653" s="25"/>
    </row>
    <row r="654" spans="1:3" x14ac:dyDescent="0.3">
      <c r="A654" s="10" t="str">
        <f t="shared" si="10"/>
        <v/>
      </c>
      <c r="B654" s="24"/>
      <c r="C654" s="25"/>
    </row>
    <row r="655" spans="1:3" x14ac:dyDescent="0.3">
      <c r="A655" s="10" t="str">
        <f t="shared" si="10"/>
        <v/>
      </c>
      <c r="B655" s="24"/>
      <c r="C655" s="25"/>
    </row>
    <row r="656" spans="1:3" x14ac:dyDescent="0.3">
      <c r="A656" s="10" t="str">
        <f t="shared" si="10"/>
        <v/>
      </c>
      <c r="B656" s="24"/>
      <c r="C656" s="25"/>
    </row>
    <row r="657" spans="1:3" x14ac:dyDescent="0.3">
      <c r="A657" s="10" t="str">
        <f t="shared" si="10"/>
        <v/>
      </c>
      <c r="B657" s="24"/>
      <c r="C657" s="25"/>
    </row>
    <row r="658" spans="1:3" x14ac:dyDescent="0.3">
      <c r="A658" s="10" t="str">
        <f t="shared" si="10"/>
        <v/>
      </c>
      <c r="B658" s="24"/>
      <c r="C658" s="25"/>
    </row>
    <row r="659" spans="1:3" x14ac:dyDescent="0.3">
      <c r="A659" s="10" t="str">
        <f t="shared" si="10"/>
        <v/>
      </c>
      <c r="B659" s="24"/>
      <c r="C659" s="25"/>
    </row>
    <row r="660" spans="1:3" x14ac:dyDescent="0.3">
      <c r="A660" s="10" t="str">
        <f t="shared" si="10"/>
        <v/>
      </c>
      <c r="B660" s="24"/>
      <c r="C660" s="25"/>
    </row>
    <row r="661" spans="1:3" x14ac:dyDescent="0.3">
      <c r="A661" s="10" t="str">
        <f t="shared" si="10"/>
        <v/>
      </c>
      <c r="B661" s="24"/>
      <c r="C661" s="25"/>
    </row>
    <row r="662" spans="1:3" x14ac:dyDescent="0.3">
      <c r="A662" s="10" t="str">
        <f t="shared" si="10"/>
        <v/>
      </c>
      <c r="B662" s="24"/>
      <c r="C662" s="25"/>
    </row>
    <row r="663" spans="1:3" x14ac:dyDescent="0.3">
      <c r="A663" s="10" t="str">
        <f t="shared" si="10"/>
        <v/>
      </c>
      <c r="B663" s="24"/>
      <c r="C663" s="25"/>
    </row>
    <row r="664" spans="1:3" x14ac:dyDescent="0.3">
      <c r="A664" s="10" t="str">
        <f t="shared" si="10"/>
        <v/>
      </c>
      <c r="B664" s="24"/>
      <c r="C664" s="25"/>
    </row>
    <row r="665" spans="1:3" x14ac:dyDescent="0.3">
      <c r="A665" s="10" t="str">
        <f t="shared" si="10"/>
        <v/>
      </c>
      <c r="B665" s="24"/>
      <c r="C665" s="25"/>
    </row>
    <row r="666" spans="1:3" x14ac:dyDescent="0.3">
      <c r="A666" s="10" t="str">
        <f t="shared" si="10"/>
        <v/>
      </c>
      <c r="B666" s="24"/>
      <c r="C666" s="25"/>
    </row>
    <row r="667" spans="1:3" x14ac:dyDescent="0.3">
      <c r="A667" s="10" t="str">
        <f t="shared" si="10"/>
        <v/>
      </c>
      <c r="B667" s="24"/>
      <c r="C667" s="25"/>
    </row>
    <row r="668" spans="1:3" x14ac:dyDescent="0.3">
      <c r="A668" s="10" t="str">
        <f t="shared" si="10"/>
        <v/>
      </c>
      <c r="B668" s="24"/>
      <c r="C668" s="25"/>
    </row>
    <row r="669" spans="1:3" x14ac:dyDescent="0.3">
      <c r="A669" s="10" t="str">
        <f t="shared" si="10"/>
        <v/>
      </c>
      <c r="B669" s="24"/>
      <c r="C669" s="25"/>
    </row>
    <row r="670" spans="1:3" x14ac:dyDescent="0.3">
      <c r="A670" s="10" t="str">
        <f t="shared" si="10"/>
        <v/>
      </c>
      <c r="B670" s="24"/>
      <c r="C670" s="25"/>
    </row>
    <row r="671" spans="1:3" x14ac:dyDescent="0.3">
      <c r="A671" s="10" t="str">
        <f t="shared" si="10"/>
        <v/>
      </c>
      <c r="B671" s="24"/>
      <c r="C671" s="25"/>
    </row>
    <row r="672" spans="1:3" x14ac:dyDescent="0.3">
      <c r="A672" s="10" t="str">
        <f t="shared" si="10"/>
        <v/>
      </c>
      <c r="B672" s="24"/>
      <c r="C672" s="25"/>
    </row>
    <row r="673" spans="1:3" x14ac:dyDescent="0.3">
      <c r="A673" s="10" t="str">
        <f t="shared" si="10"/>
        <v/>
      </c>
      <c r="B673" s="24"/>
      <c r="C673" s="25"/>
    </row>
    <row r="674" spans="1:3" x14ac:dyDescent="0.3">
      <c r="A674" s="10" t="str">
        <f t="shared" si="10"/>
        <v/>
      </c>
      <c r="B674" s="24"/>
      <c r="C674" s="25"/>
    </row>
    <row r="675" spans="1:3" x14ac:dyDescent="0.3">
      <c r="A675" s="10" t="str">
        <f t="shared" si="10"/>
        <v/>
      </c>
      <c r="B675" s="24"/>
      <c r="C675" s="25"/>
    </row>
    <row r="676" spans="1:3" x14ac:dyDescent="0.3">
      <c r="A676" s="10" t="str">
        <f t="shared" si="10"/>
        <v/>
      </c>
      <c r="B676" s="24"/>
      <c r="C676" s="25"/>
    </row>
    <row r="677" spans="1:3" x14ac:dyDescent="0.3">
      <c r="A677" s="10" t="str">
        <f t="shared" si="10"/>
        <v/>
      </c>
      <c r="B677" s="24"/>
      <c r="C677" s="25"/>
    </row>
    <row r="678" spans="1:3" x14ac:dyDescent="0.3">
      <c r="A678" s="10" t="str">
        <f t="shared" si="10"/>
        <v/>
      </c>
      <c r="B678" s="24"/>
      <c r="C678" s="25"/>
    </row>
    <row r="679" spans="1:3" x14ac:dyDescent="0.3">
      <c r="A679" s="10" t="str">
        <f t="shared" si="10"/>
        <v/>
      </c>
      <c r="B679" s="24"/>
      <c r="C679" s="25"/>
    </row>
    <row r="680" spans="1:3" x14ac:dyDescent="0.3">
      <c r="A680" s="10" t="str">
        <f t="shared" si="10"/>
        <v/>
      </c>
      <c r="B680" s="24"/>
      <c r="C680" s="25"/>
    </row>
    <row r="681" spans="1:3" x14ac:dyDescent="0.3">
      <c r="A681" s="10" t="str">
        <f t="shared" si="10"/>
        <v/>
      </c>
      <c r="B681" s="24"/>
      <c r="C681" s="25"/>
    </row>
    <row r="682" spans="1:3" x14ac:dyDescent="0.3">
      <c r="A682" s="10" t="str">
        <f t="shared" si="10"/>
        <v/>
      </c>
      <c r="B682" s="24"/>
      <c r="C682" s="25"/>
    </row>
    <row r="683" spans="1:3" x14ac:dyDescent="0.3">
      <c r="A683" s="10" t="str">
        <f t="shared" si="10"/>
        <v/>
      </c>
      <c r="B683" s="24"/>
      <c r="C683" s="25"/>
    </row>
    <row r="684" spans="1:3" x14ac:dyDescent="0.3">
      <c r="A684" s="10" t="str">
        <f t="shared" si="10"/>
        <v/>
      </c>
      <c r="B684" s="24"/>
      <c r="C684" s="25"/>
    </row>
    <row r="685" spans="1:3" x14ac:dyDescent="0.3">
      <c r="A685" s="10" t="str">
        <f t="shared" si="10"/>
        <v/>
      </c>
      <c r="B685" s="24"/>
      <c r="C685" s="25"/>
    </row>
    <row r="686" spans="1:3" x14ac:dyDescent="0.3">
      <c r="A686" s="10" t="str">
        <f t="shared" si="10"/>
        <v/>
      </c>
      <c r="B686" s="24"/>
      <c r="C686" s="25"/>
    </row>
    <row r="687" spans="1:3" x14ac:dyDescent="0.3">
      <c r="A687" s="10" t="str">
        <f t="shared" si="10"/>
        <v/>
      </c>
      <c r="B687" s="24"/>
      <c r="C687" s="25"/>
    </row>
    <row r="688" spans="1:3" x14ac:dyDescent="0.3">
      <c r="A688" s="10" t="str">
        <f t="shared" si="10"/>
        <v/>
      </c>
      <c r="B688" s="24"/>
      <c r="C688" s="25"/>
    </row>
    <row r="689" spans="1:3" x14ac:dyDescent="0.3">
      <c r="A689" s="10" t="str">
        <f t="shared" si="10"/>
        <v/>
      </c>
      <c r="B689" s="24"/>
      <c r="C689" s="25"/>
    </row>
    <row r="690" spans="1:3" x14ac:dyDescent="0.3">
      <c r="A690" s="10" t="str">
        <f t="shared" si="10"/>
        <v/>
      </c>
      <c r="B690" s="24"/>
      <c r="C690" s="25"/>
    </row>
    <row r="691" spans="1:3" x14ac:dyDescent="0.3">
      <c r="A691" s="10" t="str">
        <f t="shared" si="10"/>
        <v/>
      </c>
      <c r="B691" s="24"/>
      <c r="C691" s="25"/>
    </row>
    <row r="692" spans="1:3" x14ac:dyDescent="0.3">
      <c r="A692" s="10" t="str">
        <f t="shared" si="10"/>
        <v/>
      </c>
      <c r="B692" s="24"/>
      <c r="C692" s="25"/>
    </row>
    <row r="693" spans="1:3" x14ac:dyDescent="0.3">
      <c r="A693" s="10" t="str">
        <f t="shared" si="10"/>
        <v/>
      </c>
      <c r="B693" s="24"/>
      <c r="C693" s="25"/>
    </row>
    <row r="694" spans="1:3" x14ac:dyDescent="0.3">
      <c r="A694" s="10" t="str">
        <f t="shared" si="10"/>
        <v/>
      </c>
      <c r="B694" s="24"/>
      <c r="C694" s="25"/>
    </row>
    <row r="695" spans="1:3" x14ac:dyDescent="0.3">
      <c r="A695" s="10" t="str">
        <f t="shared" si="10"/>
        <v/>
      </c>
      <c r="B695" s="24"/>
      <c r="C695" s="25"/>
    </row>
    <row r="696" spans="1:3" x14ac:dyDescent="0.3">
      <c r="A696" s="10" t="str">
        <f t="shared" si="10"/>
        <v/>
      </c>
      <c r="B696" s="24"/>
      <c r="C696" s="25"/>
    </row>
    <row r="697" spans="1:3" x14ac:dyDescent="0.3">
      <c r="A697" s="10" t="str">
        <f t="shared" si="10"/>
        <v/>
      </c>
      <c r="B697" s="24"/>
      <c r="C697" s="25"/>
    </row>
    <row r="698" spans="1:3" x14ac:dyDescent="0.3">
      <c r="A698" s="10" t="str">
        <f t="shared" si="10"/>
        <v/>
      </c>
      <c r="B698" s="24"/>
      <c r="C698" s="25"/>
    </row>
    <row r="699" spans="1:3" x14ac:dyDescent="0.3">
      <c r="A699" s="10" t="str">
        <f t="shared" si="10"/>
        <v/>
      </c>
      <c r="B699" s="24"/>
      <c r="C699" s="25"/>
    </row>
    <row r="700" spans="1:3" x14ac:dyDescent="0.3">
      <c r="A700" s="10" t="str">
        <f t="shared" si="10"/>
        <v/>
      </c>
      <c r="B700" s="24"/>
      <c r="C700" s="25"/>
    </row>
    <row r="701" spans="1:3" x14ac:dyDescent="0.3">
      <c r="A701" s="10" t="str">
        <f t="shared" si="10"/>
        <v/>
      </c>
      <c r="B701" s="24"/>
      <c r="C701" s="25"/>
    </row>
    <row r="702" spans="1:3" x14ac:dyDescent="0.3">
      <c r="A702" s="10" t="str">
        <f t="shared" si="10"/>
        <v/>
      </c>
      <c r="B702" s="24"/>
      <c r="C702" s="25"/>
    </row>
    <row r="703" spans="1:3" x14ac:dyDescent="0.3">
      <c r="A703" s="10" t="str">
        <f t="shared" si="10"/>
        <v/>
      </c>
      <c r="B703" s="24"/>
      <c r="C703" s="25"/>
    </row>
    <row r="704" spans="1:3" x14ac:dyDescent="0.3">
      <c r="A704" s="10" t="str">
        <f t="shared" si="10"/>
        <v/>
      </c>
      <c r="B704" s="24"/>
      <c r="C704" s="25"/>
    </row>
    <row r="705" spans="1:3" x14ac:dyDescent="0.3">
      <c r="A705" s="10" t="str">
        <f t="shared" si="10"/>
        <v/>
      </c>
      <c r="B705" s="24"/>
      <c r="C705" s="25"/>
    </row>
    <row r="706" spans="1:3" x14ac:dyDescent="0.3">
      <c r="A706" s="10" t="str">
        <f t="shared" si="10"/>
        <v/>
      </c>
      <c r="B706" s="24"/>
      <c r="C706" s="25"/>
    </row>
    <row r="707" spans="1:3" x14ac:dyDescent="0.3">
      <c r="A707" s="10" t="str">
        <f t="shared" si="10"/>
        <v/>
      </c>
      <c r="B707" s="24"/>
      <c r="C707" s="25"/>
    </row>
    <row r="708" spans="1:3" x14ac:dyDescent="0.3">
      <c r="A708" s="10" t="str">
        <f t="shared" si="10"/>
        <v/>
      </c>
      <c r="B708" s="24"/>
      <c r="C708" s="25"/>
    </row>
    <row r="709" spans="1:3" x14ac:dyDescent="0.3">
      <c r="A709" s="10" t="str">
        <f t="shared" si="10"/>
        <v/>
      </c>
      <c r="B709" s="24"/>
      <c r="C709" s="25"/>
    </row>
    <row r="710" spans="1:3" x14ac:dyDescent="0.3">
      <c r="A710" s="10" t="str">
        <f t="shared" si="10"/>
        <v/>
      </c>
      <c r="B710" s="24"/>
      <c r="C710" s="25"/>
    </row>
    <row r="711" spans="1:3" x14ac:dyDescent="0.3">
      <c r="A711" s="10" t="str">
        <f t="shared" si="10"/>
        <v/>
      </c>
      <c r="B711" s="24"/>
      <c r="C711" s="25"/>
    </row>
    <row r="712" spans="1:3" x14ac:dyDescent="0.3">
      <c r="A712" s="10" t="str">
        <f t="shared" si="10"/>
        <v/>
      </c>
      <c r="B712" s="24"/>
      <c r="C712" s="25"/>
    </row>
    <row r="713" spans="1:3" x14ac:dyDescent="0.3">
      <c r="A713" s="10" t="str">
        <f t="shared" si="10"/>
        <v/>
      </c>
      <c r="B713" s="24"/>
      <c r="C713" s="25"/>
    </row>
    <row r="714" spans="1:3" x14ac:dyDescent="0.3">
      <c r="A714" s="10" t="str">
        <f t="shared" si="10"/>
        <v/>
      </c>
      <c r="B714" s="24"/>
      <c r="C714" s="25"/>
    </row>
    <row r="715" spans="1:3" x14ac:dyDescent="0.3">
      <c r="A715" s="10" t="str">
        <f t="shared" ref="A715:A778" si="11">IF(COUNT(B715:C715) =2,ROWS(A715:A715)+714:714,"")</f>
        <v/>
      </c>
      <c r="B715" s="24"/>
      <c r="C715" s="25"/>
    </row>
    <row r="716" spans="1:3" x14ac:dyDescent="0.3">
      <c r="A716" s="10" t="str">
        <f t="shared" si="11"/>
        <v/>
      </c>
      <c r="B716" s="24"/>
      <c r="C716" s="25"/>
    </row>
    <row r="717" spans="1:3" x14ac:dyDescent="0.3">
      <c r="A717" s="10" t="str">
        <f t="shared" si="11"/>
        <v/>
      </c>
      <c r="B717" s="24"/>
      <c r="C717" s="25"/>
    </row>
    <row r="718" spans="1:3" x14ac:dyDescent="0.3">
      <c r="A718" s="10" t="str">
        <f t="shared" si="11"/>
        <v/>
      </c>
      <c r="B718" s="24"/>
      <c r="C718" s="25"/>
    </row>
    <row r="719" spans="1:3" x14ac:dyDescent="0.3">
      <c r="A719" s="10" t="str">
        <f t="shared" si="11"/>
        <v/>
      </c>
      <c r="B719" s="24"/>
      <c r="C719" s="25"/>
    </row>
    <row r="720" spans="1:3" x14ac:dyDescent="0.3">
      <c r="A720" s="10" t="str">
        <f t="shared" si="11"/>
        <v/>
      </c>
      <c r="B720" s="24"/>
      <c r="C720" s="25"/>
    </row>
    <row r="721" spans="1:3" x14ac:dyDescent="0.3">
      <c r="A721" s="10" t="str">
        <f t="shared" si="11"/>
        <v/>
      </c>
      <c r="B721" s="24"/>
      <c r="C721" s="25"/>
    </row>
    <row r="722" spans="1:3" x14ac:dyDescent="0.3">
      <c r="A722" s="10" t="str">
        <f t="shared" si="11"/>
        <v/>
      </c>
      <c r="B722" s="24"/>
      <c r="C722" s="25"/>
    </row>
    <row r="723" spans="1:3" x14ac:dyDescent="0.3">
      <c r="A723" s="10" t="str">
        <f t="shared" si="11"/>
        <v/>
      </c>
      <c r="B723" s="24"/>
      <c r="C723" s="25"/>
    </row>
    <row r="724" spans="1:3" x14ac:dyDescent="0.3">
      <c r="A724" s="10" t="str">
        <f t="shared" si="11"/>
        <v/>
      </c>
      <c r="B724" s="24"/>
      <c r="C724" s="25"/>
    </row>
    <row r="725" spans="1:3" x14ac:dyDescent="0.3">
      <c r="A725" s="10" t="str">
        <f t="shared" si="11"/>
        <v/>
      </c>
      <c r="B725" s="24"/>
      <c r="C725" s="25"/>
    </row>
    <row r="726" spans="1:3" x14ac:dyDescent="0.3">
      <c r="A726" s="10" t="str">
        <f t="shared" si="11"/>
        <v/>
      </c>
      <c r="B726" s="24"/>
      <c r="C726" s="25"/>
    </row>
    <row r="727" spans="1:3" x14ac:dyDescent="0.3">
      <c r="A727" s="10" t="str">
        <f t="shared" si="11"/>
        <v/>
      </c>
      <c r="B727" s="24"/>
      <c r="C727" s="25"/>
    </row>
    <row r="728" spans="1:3" x14ac:dyDescent="0.3">
      <c r="A728" s="10" t="str">
        <f t="shared" si="11"/>
        <v/>
      </c>
      <c r="B728" s="24"/>
      <c r="C728" s="25"/>
    </row>
    <row r="729" spans="1:3" x14ac:dyDescent="0.3">
      <c r="A729" s="10" t="str">
        <f t="shared" si="11"/>
        <v/>
      </c>
      <c r="B729" s="24"/>
      <c r="C729" s="25"/>
    </row>
    <row r="730" spans="1:3" x14ac:dyDescent="0.3">
      <c r="A730" s="10" t="str">
        <f t="shared" si="11"/>
        <v/>
      </c>
      <c r="B730" s="24"/>
      <c r="C730" s="25"/>
    </row>
    <row r="731" spans="1:3" x14ac:dyDescent="0.3">
      <c r="A731" s="10" t="str">
        <f t="shared" si="11"/>
        <v/>
      </c>
      <c r="B731" s="24"/>
      <c r="C731" s="25"/>
    </row>
    <row r="732" spans="1:3" x14ac:dyDescent="0.3">
      <c r="A732" s="10" t="str">
        <f t="shared" si="11"/>
        <v/>
      </c>
      <c r="B732" s="24"/>
      <c r="C732" s="25"/>
    </row>
    <row r="733" spans="1:3" x14ac:dyDescent="0.3">
      <c r="A733" s="10" t="str">
        <f t="shared" si="11"/>
        <v/>
      </c>
      <c r="B733" s="24"/>
      <c r="C733" s="25"/>
    </row>
    <row r="734" spans="1:3" x14ac:dyDescent="0.3">
      <c r="A734" s="10" t="str">
        <f t="shared" si="11"/>
        <v/>
      </c>
      <c r="B734" s="24"/>
      <c r="C734" s="25"/>
    </row>
    <row r="735" spans="1:3" x14ac:dyDescent="0.3">
      <c r="A735" s="10" t="str">
        <f t="shared" si="11"/>
        <v/>
      </c>
      <c r="B735" s="24"/>
      <c r="C735" s="25"/>
    </row>
    <row r="736" spans="1:3" x14ac:dyDescent="0.3">
      <c r="A736" s="10" t="str">
        <f t="shared" si="11"/>
        <v/>
      </c>
      <c r="B736" s="24"/>
      <c r="C736" s="25"/>
    </row>
    <row r="737" spans="1:3" x14ac:dyDescent="0.3">
      <c r="A737" s="10" t="str">
        <f t="shared" si="11"/>
        <v/>
      </c>
      <c r="B737" s="24"/>
      <c r="C737" s="25"/>
    </row>
    <row r="738" spans="1:3" x14ac:dyDescent="0.3">
      <c r="A738" s="10" t="str">
        <f t="shared" si="11"/>
        <v/>
      </c>
      <c r="B738" s="24"/>
      <c r="C738" s="25"/>
    </row>
    <row r="739" spans="1:3" x14ac:dyDescent="0.3">
      <c r="A739" s="10" t="str">
        <f t="shared" si="11"/>
        <v/>
      </c>
      <c r="B739" s="24"/>
      <c r="C739" s="25"/>
    </row>
    <row r="740" spans="1:3" x14ac:dyDescent="0.3">
      <c r="A740" s="10" t="str">
        <f t="shared" si="11"/>
        <v/>
      </c>
      <c r="B740" s="24"/>
      <c r="C740" s="25"/>
    </row>
    <row r="741" spans="1:3" x14ac:dyDescent="0.3">
      <c r="A741" s="10" t="str">
        <f t="shared" si="11"/>
        <v/>
      </c>
      <c r="B741" s="24"/>
      <c r="C741" s="25"/>
    </row>
    <row r="742" spans="1:3" x14ac:dyDescent="0.3">
      <c r="A742" s="10" t="str">
        <f t="shared" si="11"/>
        <v/>
      </c>
      <c r="B742" s="24"/>
      <c r="C742" s="25"/>
    </row>
    <row r="743" spans="1:3" x14ac:dyDescent="0.3">
      <c r="A743" s="10" t="str">
        <f t="shared" si="11"/>
        <v/>
      </c>
      <c r="B743" s="24"/>
      <c r="C743" s="25"/>
    </row>
    <row r="744" spans="1:3" x14ac:dyDescent="0.3">
      <c r="A744" s="10" t="str">
        <f t="shared" si="11"/>
        <v/>
      </c>
      <c r="B744" s="24"/>
      <c r="C744" s="25"/>
    </row>
    <row r="745" spans="1:3" x14ac:dyDescent="0.3">
      <c r="A745" s="10" t="str">
        <f t="shared" si="11"/>
        <v/>
      </c>
      <c r="B745" s="24"/>
      <c r="C745" s="25"/>
    </row>
    <row r="746" spans="1:3" x14ac:dyDescent="0.3">
      <c r="A746" s="10" t="str">
        <f t="shared" si="11"/>
        <v/>
      </c>
      <c r="B746" s="24"/>
      <c r="C746" s="25"/>
    </row>
    <row r="747" spans="1:3" x14ac:dyDescent="0.3">
      <c r="A747" s="10" t="str">
        <f t="shared" si="11"/>
        <v/>
      </c>
      <c r="B747" s="24"/>
      <c r="C747" s="25"/>
    </row>
    <row r="748" spans="1:3" x14ac:dyDescent="0.3">
      <c r="A748" s="10" t="str">
        <f t="shared" si="11"/>
        <v/>
      </c>
      <c r="B748" s="24"/>
      <c r="C748" s="25"/>
    </row>
    <row r="749" spans="1:3" x14ac:dyDescent="0.3">
      <c r="A749" s="10" t="str">
        <f t="shared" si="11"/>
        <v/>
      </c>
      <c r="B749" s="24"/>
      <c r="C749" s="25"/>
    </row>
    <row r="750" spans="1:3" x14ac:dyDescent="0.3">
      <c r="A750" s="10" t="str">
        <f t="shared" si="11"/>
        <v/>
      </c>
      <c r="B750" s="24"/>
      <c r="C750" s="25"/>
    </row>
    <row r="751" spans="1:3" x14ac:dyDescent="0.3">
      <c r="A751" s="10" t="str">
        <f t="shared" si="11"/>
        <v/>
      </c>
      <c r="B751" s="24"/>
      <c r="C751" s="25"/>
    </row>
    <row r="752" spans="1:3" x14ac:dyDescent="0.3">
      <c r="A752" s="10" t="str">
        <f t="shared" si="11"/>
        <v/>
      </c>
      <c r="B752" s="24"/>
      <c r="C752" s="25"/>
    </row>
    <row r="753" spans="1:3" x14ac:dyDescent="0.3">
      <c r="A753" s="10" t="str">
        <f t="shared" si="11"/>
        <v/>
      </c>
      <c r="B753" s="24"/>
      <c r="C753" s="25"/>
    </row>
    <row r="754" spans="1:3" x14ac:dyDescent="0.3">
      <c r="A754" s="10" t="str">
        <f t="shared" si="11"/>
        <v/>
      </c>
      <c r="B754" s="24"/>
      <c r="C754" s="25"/>
    </row>
    <row r="755" spans="1:3" x14ac:dyDescent="0.3">
      <c r="A755" s="10" t="str">
        <f t="shared" si="11"/>
        <v/>
      </c>
      <c r="B755" s="24"/>
      <c r="C755" s="25"/>
    </row>
    <row r="756" spans="1:3" x14ac:dyDescent="0.3">
      <c r="A756" s="10" t="str">
        <f t="shared" si="11"/>
        <v/>
      </c>
      <c r="B756" s="24"/>
      <c r="C756" s="25"/>
    </row>
    <row r="757" spans="1:3" x14ac:dyDescent="0.3">
      <c r="A757" s="10" t="str">
        <f t="shared" si="11"/>
        <v/>
      </c>
      <c r="B757" s="24"/>
      <c r="C757" s="25"/>
    </row>
    <row r="758" spans="1:3" x14ac:dyDescent="0.3">
      <c r="A758" s="10" t="str">
        <f t="shared" si="11"/>
        <v/>
      </c>
      <c r="B758" s="24"/>
      <c r="C758" s="25"/>
    </row>
    <row r="759" spans="1:3" x14ac:dyDescent="0.3">
      <c r="A759" s="10" t="str">
        <f t="shared" si="11"/>
        <v/>
      </c>
      <c r="B759" s="24"/>
      <c r="C759" s="25"/>
    </row>
    <row r="760" spans="1:3" x14ac:dyDescent="0.3">
      <c r="A760" s="10" t="str">
        <f t="shared" si="11"/>
        <v/>
      </c>
      <c r="B760" s="24"/>
      <c r="C760" s="25"/>
    </row>
    <row r="761" spans="1:3" x14ac:dyDescent="0.3">
      <c r="A761" s="10" t="str">
        <f t="shared" si="11"/>
        <v/>
      </c>
      <c r="B761" s="24"/>
      <c r="C761" s="25"/>
    </row>
    <row r="762" spans="1:3" x14ac:dyDescent="0.3">
      <c r="A762" s="10" t="str">
        <f t="shared" si="11"/>
        <v/>
      </c>
      <c r="B762" s="24"/>
      <c r="C762" s="25"/>
    </row>
    <row r="763" spans="1:3" x14ac:dyDescent="0.3">
      <c r="A763" s="10" t="str">
        <f t="shared" si="11"/>
        <v/>
      </c>
      <c r="B763" s="24"/>
      <c r="C763" s="25"/>
    </row>
    <row r="764" spans="1:3" x14ac:dyDescent="0.3">
      <c r="A764" s="10" t="str">
        <f t="shared" si="11"/>
        <v/>
      </c>
      <c r="B764" s="24"/>
      <c r="C764" s="25"/>
    </row>
    <row r="765" spans="1:3" x14ac:dyDescent="0.3">
      <c r="A765" s="10" t="str">
        <f t="shared" si="11"/>
        <v/>
      </c>
      <c r="B765" s="24"/>
      <c r="C765" s="25"/>
    </row>
    <row r="766" spans="1:3" x14ac:dyDescent="0.3">
      <c r="A766" s="10" t="str">
        <f t="shared" si="11"/>
        <v/>
      </c>
      <c r="B766" s="24"/>
      <c r="C766" s="25"/>
    </row>
    <row r="767" spans="1:3" x14ac:dyDescent="0.3">
      <c r="A767" s="10" t="str">
        <f t="shared" si="11"/>
        <v/>
      </c>
      <c r="B767" s="24"/>
      <c r="C767" s="25"/>
    </row>
    <row r="768" spans="1:3" x14ac:dyDescent="0.3">
      <c r="A768" s="10" t="str">
        <f t="shared" si="11"/>
        <v/>
      </c>
      <c r="B768" s="24"/>
      <c r="C768" s="25"/>
    </row>
    <row r="769" spans="1:3" x14ac:dyDescent="0.3">
      <c r="A769" s="10" t="str">
        <f t="shared" si="11"/>
        <v/>
      </c>
      <c r="B769" s="24"/>
      <c r="C769" s="25"/>
    </row>
    <row r="770" spans="1:3" x14ac:dyDescent="0.3">
      <c r="A770" s="10" t="str">
        <f t="shared" si="11"/>
        <v/>
      </c>
      <c r="B770" s="24"/>
      <c r="C770" s="25"/>
    </row>
    <row r="771" spans="1:3" x14ac:dyDescent="0.3">
      <c r="A771" s="10" t="str">
        <f t="shared" si="11"/>
        <v/>
      </c>
      <c r="B771" s="24"/>
      <c r="C771" s="25"/>
    </row>
    <row r="772" spans="1:3" x14ac:dyDescent="0.3">
      <c r="A772" s="10" t="str">
        <f t="shared" si="11"/>
        <v/>
      </c>
      <c r="B772" s="24"/>
      <c r="C772" s="25"/>
    </row>
    <row r="773" spans="1:3" x14ac:dyDescent="0.3">
      <c r="A773" s="10" t="str">
        <f t="shared" si="11"/>
        <v/>
      </c>
      <c r="B773" s="24"/>
      <c r="C773" s="25"/>
    </row>
    <row r="774" spans="1:3" x14ac:dyDescent="0.3">
      <c r="A774" s="10" t="str">
        <f t="shared" si="11"/>
        <v/>
      </c>
      <c r="B774" s="24"/>
      <c r="C774" s="25"/>
    </row>
    <row r="775" spans="1:3" x14ac:dyDescent="0.3">
      <c r="A775" s="10" t="str">
        <f t="shared" si="11"/>
        <v/>
      </c>
      <c r="B775" s="24"/>
      <c r="C775" s="25"/>
    </row>
    <row r="776" spans="1:3" x14ac:dyDescent="0.3">
      <c r="A776" s="10" t="str">
        <f t="shared" si="11"/>
        <v/>
      </c>
      <c r="B776" s="24"/>
      <c r="C776" s="25"/>
    </row>
    <row r="777" spans="1:3" x14ac:dyDescent="0.3">
      <c r="A777" s="10" t="str">
        <f t="shared" si="11"/>
        <v/>
      </c>
      <c r="B777" s="24"/>
      <c r="C777" s="25"/>
    </row>
    <row r="778" spans="1:3" x14ac:dyDescent="0.3">
      <c r="A778" s="10" t="str">
        <f t="shared" si="11"/>
        <v/>
      </c>
      <c r="B778" s="24"/>
      <c r="C778" s="25"/>
    </row>
    <row r="779" spans="1:3" x14ac:dyDescent="0.3">
      <c r="A779" s="10" t="str">
        <f t="shared" ref="A779:A842" si="12">IF(COUNT(B779:C779) =2,ROWS(A779:A779)+778:778,"")</f>
        <v/>
      </c>
      <c r="B779" s="24"/>
      <c r="C779" s="25"/>
    </row>
    <row r="780" spans="1:3" x14ac:dyDescent="0.3">
      <c r="A780" s="10" t="str">
        <f t="shared" si="12"/>
        <v/>
      </c>
      <c r="B780" s="24"/>
      <c r="C780" s="25"/>
    </row>
    <row r="781" spans="1:3" x14ac:dyDescent="0.3">
      <c r="A781" s="10" t="str">
        <f t="shared" si="12"/>
        <v/>
      </c>
      <c r="B781" s="24"/>
      <c r="C781" s="25"/>
    </row>
    <row r="782" spans="1:3" x14ac:dyDescent="0.3">
      <c r="A782" s="10" t="str">
        <f t="shared" si="12"/>
        <v/>
      </c>
      <c r="B782" s="24"/>
      <c r="C782" s="25"/>
    </row>
    <row r="783" spans="1:3" x14ac:dyDescent="0.3">
      <c r="A783" s="10" t="str">
        <f t="shared" si="12"/>
        <v/>
      </c>
      <c r="B783" s="24"/>
      <c r="C783" s="25"/>
    </row>
    <row r="784" spans="1:3" x14ac:dyDescent="0.3">
      <c r="A784" s="10" t="str">
        <f t="shared" si="12"/>
        <v/>
      </c>
      <c r="B784" s="24"/>
      <c r="C784" s="25"/>
    </row>
    <row r="785" spans="1:3" x14ac:dyDescent="0.3">
      <c r="A785" s="10" t="str">
        <f t="shared" si="12"/>
        <v/>
      </c>
      <c r="B785" s="24"/>
      <c r="C785" s="25"/>
    </row>
    <row r="786" spans="1:3" x14ac:dyDescent="0.3">
      <c r="A786" s="10" t="str">
        <f t="shared" si="12"/>
        <v/>
      </c>
      <c r="B786" s="24"/>
      <c r="C786" s="25"/>
    </row>
    <row r="787" spans="1:3" x14ac:dyDescent="0.3">
      <c r="A787" s="10" t="str">
        <f t="shared" si="12"/>
        <v/>
      </c>
      <c r="B787" s="24"/>
      <c r="C787" s="25"/>
    </row>
    <row r="788" spans="1:3" x14ac:dyDescent="0.3">
      <c r="A788" s="10" t="str">
        <f t="shared" si="12"/>
        <v/>
      </c>
      <c r="B788" s="24"/>
      <c r="C788" s="25"/>
    </row>
    <row r="789" spans="1:3" x14ac:dyDescent="0.3">
      <c r="A789" s="10" t="str">
        <f t="shared" si="12"/>
        <v/>
      </c>
      <c r="B789" s="24"/>
      <c r="C789" s="25"/>
    </row>
    <row r="790" spans="1:3" x14ac:dyDescent="0.3">
      <c r="A790" s="10" t="str">
        <f t="shared" si="12"/>
        <v/>
      </c>
      <c r="B790" s="24"/>
      <c r="C790" s="25"/>
    </row>
    <row r="791" spans="1:3" x14ac:dyDescent="0.3">
      <c r="A791" s="10" t="str">
        <f t="shared" si="12"/>
        <v/>
      </c>
      <c r="B791" s="24"/>
      <c r="C791" s="25"/>
    </row>
    <row r="792" spans="1:3" x14ac:dyDescent="0.3">
      <c r="A792" s="10" t="str">
        <f t="shared" si="12"/>
        <v/>
      </c>
      <c r="B792" s="24"/>
      <c r="C792" s="25"/>
    </row>
    <row r="793" spans="1:3" x14ac:dyDescent="0.3">
      <c r="A793" s="10" t="str">
        <f t="shared" si="12"/>
        <v/>
      </c>
      <c r="B793" s="24"/>
      <c r="C793" s="25"/>
    </row>
    <row r="794" spans="1:3" x14ac:dyDescent="0.3">
      <c r="A794" s="10" t="str">
        <f t="shared" si="12"/>
        <v/>
      </c>
      <c r="B794" s="24"/>
      <c r="C794" s="25"/>
    </row>
    <row r="795" spans="1:3" x14ac:dyDescent="0.3">
      <c r="A795" s="10" t="str">
        <f t="shared" si="12"/>
        <v/>
      </c>
      <c r="B795" s="24"/>
      <c r="C795" s="25"/>
    </row>
    <row r="796" spans="1:3" x14ac:dyDescent="0.3">
      <c r="A796" s="10" t="str">
        <f t="shared" si="12"/>
        <v/>
      </c>
      <c r="B796" s="24"/>
      <c r="C796" s="25"/>
    </row>
    <row r="797" spans="1:3" x14ac:dyDescent="0.3">
      <c r="A797" s="10" t="str">
        <f t="shared" si="12"/>
        <v/>
      </c>
      <c r="B797" s="24"/>
      <c r="C797" s="25"/>
    </row>
    <row r="798" spans="1:3" x14ac:dyDescent="0.3">
      <c r="A798" s="10" t="str">
        <f t="shared" si="12"/>
        <v/>
      </c>
      <c r="B798" s="24"/>
      <c r="C798" s="25"/>
    </row>
    <row r="799" spans="1:3" x14ac:dyDescent="0.3">
      <c r="A799" s="10" t="str">
        <f t="shared" si="12"/>
        <v/>
      </c>
      <c r="B799" s="24"/>
      <c r="C799" s="25"/>
    </row>
    <row r="800" spans="1:3" x14ac:dyDescent="0.3">
      <c r="A800" s="10" t="str">
        <f t="shared" si="12"/>
        <v/>
      </c>
      <c r="B800" s="24"/>
      <c r="C800" s="25"/>
    </row>
    <row r="801" spans="1:3" x14ac:dyDescent="0.3">
      <c r="A801" s="10" t="str">
        <f t="shared" si="12"/>
        <v/>
      </c>
      <c r="B801" s="24"/>
      <c r="C801" s="25"/>
    </row>
    <row r="802" spans="1:3" x14ac:dyDescent="0.3">
      <c r="A802" s="10" t="str">
        <f t="shared" si="12"/>
        <v/>
      </c>
      <c r="B802" s="24"/>
      <c r="C802" s="25"/>
    </row>
    <row r="803" spans="1:3" x14ac:dyDescent="0.3">
      <c r="A803" s="10" t="str">
        <f t="shared" si="12"/>
        <v/>
      </c>
      <c r="B803" s="24"/>
      <c r="C803" s="25"/>
    </row>
    <row r="804" spans="1:3" x14ac:dyDescent="0.3">
      <c r="A804" s="10" t="str">
        <f t="shared" si="12"/>
        <v/>
      </c>
      <c r="B804" s="24"/>
      <c r="C804" s="25"/>
    </row>
    <row r="805" spans="1:3" x14ac:dyDescent="0.3">
      <c r="A805" s="10" t="str">
        <f t="shared" si="12"/>
        <v/>
      </c>
      <c r="B805" s="24"/>
      <c r="C805" s="25"/>
    </row>
    <row r="806" spans="1:3" x14ac:dyDescent="0.3">
      <c r="A806" s="10" t="str">
        <f t="shared" si="12"/>
        <v/>
      </c>
      <c r="B806" s="24"/>
      <c r="C806" s="25"/>
    </row>
    <row r="807" spans="1:3" x14ac:dyDescent="0.3">
      <c r="A807" s="10" t="str">
        <f t="shared" si="12"/>
        <v/>
      </c>
      <c r="B807" s="24"/>
      <c r="C807" s="25"/>
    </row>
    <row r="808" spans="1:3" x14ac:dyDescent="0.3">
      <c r="A808" s="10" t="str">
        <f t="shared" si="12"/>
        <v/>
      </c>
      <c r="B808" s="24"/>
      <c r="C808" s="25"/>
    </row>
    <row r="809" spans="1:3" x14ac:dyDescent="0.3">
      <c r="A809" s="10" t="str">
        <f t="shared" si="12"/>
        <v/>
      </c>
      <c r="B809" s="24"/>
      <c r="C809" s="25"/>
    </row>
    <row r="810" spans="1:3" x14ac:dyDescent="0.3">
      <c r="A810" s="10" t="str">
        <f t="shared" si="12"/>
        <v/>
      </c>
      <c r="B810" s="24"/>
      <c r="C810" s="25"/>
    </row>
    <row r="811" spans="1:3" x14ac:dyDescent="0.3">
      <c r="A811" s="10" t="str">
        <f t="shared" si="12"/>
        <v/>
      </c>
      <c r="B811" s="24"/>
      <c r="C811" s="25"/>
    </row>
    <row r="812" spans="1:3" x14ac:dyDescent="0.3">
      <c r="A812" s="10" t="str">
        <f t="shared" si="12"/>
        <v/>
      </c>
      <c r="B812" s="24"/>
      <c r="C812" s="25"/>
    </row>
    <row r="813" spans="1:3" x14ac:dyDescent="0.3">
      <c r="A813" s="10" t="str">
        <f t="shared" si="12"/>
        <v/>
      </c>
      <c r="B813" s="24"/>
      <c r="C813" s="25"/>
    </row>
    <row r="814" spans="1:3" x14ac:dyDescent="0.3">
      <c r="A814" s="10" t="str">
        <f t="shared" si="12"/>
        <v/>
      </c>
      <c r="B814" s="24"/>
      <c r="C814" s="25"/>
    </row>
    <row r="815" spans="1:3" x14ac:dyDescent="0.3">
      <c r="A815" s="10" t="str">
        <f t="shared" si="12"/>
        <v/>
      </c>
      <c r="B815" s="24"/>
      <c r="C815" s="25"/>
    </row>
    <row r="816" spans="1:3" x14ac:dyDescent="0.3">
      <c r="A816" s="10" t="str">
        <f t="shared" si="12"/>
        <v/>
      </c>
      <c r="B816" s="24"/>
      <c r="C816" s="25"/>
    </row>
    <row r="817" spans="1:3" x14ac:dyDescent="0.3">
      <c r="A817" s="10" t="str">
        <f t="shared" si="12"/>
        <v/>
      </c>
      <c r="B817" s="24"/>
      <c r="C817" s="25"/>
    </row>
    <row r="818" spans="1:3" x14ac:dyDescent="0.3">
      <c r="A818" s="10" t="str">
        <f t="shared" si="12"/>
        <v/>
      </c>
      <c r="B818" s="24"/>
      <c r="C818" s="25"/>
    </row>
    <row r="819" spans="1:3" x14ac:dyDescent="0.3">
      <c r="A819" s="10" t="str">
        <f t="shared" si="12"/>
        <v/>
      </c>
      <c r="B819" s="24"/>
      <c r="C819" s="25"/>
    </row>
    <row r="820" spans="1:3" x14ac:dyDescent="0.3">
      <c r="A820" s="10" t="str">
        <f t="shared" si="12"/>
        <v/>
      </c>
      <c r="B820" s="24"/>
      <c r="C820" s="25"/>
    </row>
    <row r="821" spans="1:3" x14ac:dyDescent="0.3">
      <c r="A821" s="10" t="str">
        <f t="shared" si="12"/>
        <v/>
      </c>
      <c r="B821" s="24"/>
      <c r="C821" s="25"/>
    </row>
    <row r="822" spans="1:3" x14ac:dyDescent="0.3">
      <c r="A822" s="10" t="str">
        <f t="shared" si="12"/>
        <v/>
      </c>
      <c r="B822" s="24"/>
      <c r="C822" s="25"/>
    </row>
    <row r="823" spans="1:3" x14ac:dyDescent="0.3">
      <c r="A823" s="10" t="str">
        <f t="shared" si="12"/>
        <v/>
      </c>
      <c r="B823" s="24"/>
      <c r="C823" s="25"/>
    </row>
    <row r="824" spans="1:3" x14ac:dyDescent="0.3">
      <c r="A824" s="10" t="str">
        <f t="shared" si="12"/>
        <v/>
      </c>
      <c r="B824" s="24"/>
      <c r="C824" s="25"/>
    </row>
    <row r="825" spans="1:3" x14ac:dyDescent="0.3">
      <c r="A825" s="10" t="str">
        <f t="shared" si="12"/>
        <v/>
      </c>
      <c r="B825" s="24"/>
      <c r="C825" s="25"/>
    </row>
    <row r="826" spans="1:3" x14ac:dyDescent="0.3">
      <c r="A826" s="10" t="str">
        <f t="shared" si="12"/>
        <v/>
      </c>
      <c r="B826" s="24"/>
      <c r="C826" s="25"/>
    </row>
    <row r="827" spans="1:3" x14ac:dyDescent="0.3">
      <c r="A827" s="10" t="str">
        <f t="shared" si="12"/>
        <v/>
      </c>
      <c r="B827" s="24"/>
      <c r="C827" s="25"/>
    </row>
    <row r="828" spans="1:3" x14ac:dyDescent="0.3">
      <c r="A828" s="10" t="str">
        <f t="shared" si="12"/>
        <v/>
      </c>
      <c r="B828" s="24"/>
      <c r="C828" s="25"/>
    </row>
    <row r="829" spans="1:3" x14ac:dyDescent="0.3">
      <c r="A829" s="10" t="str">
        <f t="shared" si="12"/>
        <v/>
      </c>
      <c r="B829" s="24"/>
      <c r="C829" s="25"/>
    </row>
    <row r="830" spans="1:3" x14ac:dyDescent="0.3">
      <c r="A830" s="10" t="str">
        <f t="shared" si="12"/>
        <v/>
      </c>
      <c r="B830" s="24"/>
      <c r="C830" s="25"/>
    </row>
    <row r="831" spans="1:3" x14ac:dyDescent="0.3">
      <c r="A831" s="10" t="str">
        <f t="shared" si="12"/>
        <v/>
      </c>
      <c r="B831" s="24"/>
      <c r="C831" s="25"/>
    </row>
    <row r="832" spans="1:3" x14ac:dyDescent="0.3">
      <c r="A832" s="10" t="str">
        <f t="shared" si="12"/>
        <v/>
      </c>
      <c r="B832" s="24"/>
      <c r="C832" s="25"/>
    </row>
    <row r="833" spans="1:3" x14ac:dyDescent="0.3">
      <c r="A833" s="10" t="str">
        <f t="shared" si="12"/>
        <v/>
      </c>
      <c r="B833" s="24"/>
      <c r="C833" s="25"/>
    </row>
    <row r="834" spans="1:3" x14ac:dyDescent="0.3">
      <c r="A834" s="10" t="str">
        <f t="shared" si="12"/>
        <v/>
      </c>
      <c r="B834" s="24"/>
      <c r="C834" s="25"/>
    </row>
    <row r="835" spans="1:3" x14ac:dyDescent="0.3">
      <c r="A835" s="10" t="str">
        <f t="shared" si="12"/>
        <v/>
      </c>
      <c r="B835" s="24"/>
      <c r="C835" s="25"/>
    </row>
    <row r="836" spans="1:3" x14ac:dyDescent="0.3">
      <c r="A836" s="10" t="str">
        <f t="shared" si="12"/>
        <v/>
      </c>
      <c r="B836" s="24"/>
      <c r="C836" s="25"/>
    </row>
    <row r="837" spans="1:3" x14ac:dyDescent="0.3">
      <c r="A837" s="10" t="str">
        <f t="shared" si="12"/>
        <v/>
      </c>
      <c r="B837" s="24"/>
      <c r="C837" s="25"/>
    </row>
    <row r="838" spans="1:3" x14ac:dyDescent="0.3">
      <c r="A838" s="10" t="str">
        <f t="shared" si="12"/>
        <v/>
      </c>
      <c r="B838" s="24"/>
      <c r="C838" s="25"/>
    </row>
    <row r="839" spans="1:3" x14ac:dyDescent="0.3">
      <c r="A839" s="10" t="str">
        <f t="shared" si="12"/>
        <v/>
      </c>
      <c r="B839" s="24"/>
      <c r="C839" s="25"/>
    </row>
    <row r="840" spans="1:3" x14ac:dyDescent="0.3">
      <c r="A840" s="10" t="str">
        <f t="shared" si="12"/>
        <v/>
      </c>
      <c r="B840" s="24"/>
      <c r="C840" s="25"/>
    </row>
    <row r="841" spans="1:3" x14ac:dyDescent="0.3">
      <c r="A841" s="10" t="str">
        <f t="shared" si="12"/>
        <v/>
      </c>
      <c r="B841" s="24"/>
      <c r="C841" s="25"/>
    </row>
    <row r="842" spans="1:3" x14ac:dyDescent="0.3">
      <c r="A842" s="10" t="str">
        <f t="shared" si="12"/>
        <v/>
      </c>
      <c r="B842" s="24"/>
      <c r="C842" s="25"/>
    </row>
    <row r="843" spans="1:3" x14ac:dyDescent="0.3">
      <c r="A843" s="10" t="str">
        <f t="shared" ref="A843:A906" si="13">IF(COUNT(B843:C843) =2,ROWS(A843:A843)+842:842,"")</f>
        <v/>
      </c>
      <c r="B843" s="24"/>
      <c r="C843" s="25"/>
    </row>
    <row r="844" spans="1:3" x14ac:dyDescent="0.3">
      <c r="A844" s="10" t="str">
        <f t="shared" si="13"/>
        <v/>
      </c>
      <c r="B844" s="24"/>
      <c r="C844" s="25"/>
    </row>
    <row r="845" spans="1:3" x14ac:dyDescent="0.3">
      <c r="A845" s="10" t="str">
        <f t="shared" si="13"/>
        <v/>
      </c>
      <c r="B845" s="24"/>
      <c r="C845" s="25"/>
    </row>
    <row r="846" spans="1:3" x14ac:dyDescent="0.3">
      <c r="A846" s="10" t="str">
        <f t="shared" si="13"/>
        <v/>
      </c>
      <c r="B846" s="24"/>
      <c r="C846" s="25"/>
    </row>
    <row r="847" spans="1:3" x14ac:dyDescent="0.3">
      <c r="A847" s="10" t="str">
        <f t="shared" si="13"/>
        <v/>
      </c>
      <c r="B847" s="24"/>
      <c r="C847" s="25"/>
    </row>
    <row r="848" spans="1:3" x14ac:dyDescent="0.3">
      <c r="A848" s="10" t="str">
        <f t="shared" si="13"/>
        <v/>
      </c>
      <c r="B848" s="24"/>
      <c r="C848" s="25"/>
    </row>
    <row r="849" spans="1:3" x14ac:dyDescent="0.3">
      <c r="A849" s="10" t="str">
        <f t="shared" si="13"/>
        <v/>
      </c>
      <c r="B849" s="24"/>
      <c r="C849" s="25"/>
    </row>
    <row r="850" spans="1:3" x14ac:dyDescent="0.3">
      <c r="A850" s="10" t="str">
        <f t="shared" si="13"/>
        <v/>
      </c>
      <c r="B850" s="24"/>
      <c r="C850" s="25"/>
    </row>
    <row r="851" spans="1:3" x14ac:dyDescent="0.3">
      <c r="A851" s="10" t="str">
        <f t="shared" si="13"/>
        <v/>
      </c>
      <c r="B851" s="24"/>
      <c r="C851" s="25"/>
    </row>
    <row r="852" spans="1:3" x14ac:dyDescent="0.3">
      <c r="A852" s="10" t="str">
        <f t="shared" si="13"/>
        <v/>
      </c>
      <c r="B852" s="24"/>
      <c r="C852" s="25"/>
    </row>
    <row r="853" spans="1:3" x14ac:dyDescent="0.3">
      <c r="A853" s="10" t="str">
        <f t="shared" si="13"/>
        <v/>
      </c>
      <c r="B853" s="24"/>
      <c r="C853" s="25"/>
    </row>
    <row r="854" spans="1:3" x14ac:dyDescent="0.3">
      <c r="A854" s="10" t="str">
        <f t="shared" si="13"/>
        <v/>
      </c>
      <c r="B854" s="24"/>
      <c r="C854" s="25"/>
    </row>
    <row r="855" spans="1:3" x14ac:dyDescent="0.3">
      <c r="A855" s="10" t="str">
        <f t="shared" si="13"/>
        <v/>
      </c>
      <c r="B855" s="24"/>
      <c r="C855" s="25"/>
    </row>
    <row r="856" spans="1:3" x14ac:dyDescent="0.3">
      <c r="A856" s="10" t="str">
        <f t="shared" si="13"/>
        <v/>
      </c>
      <c r="B856" s="24"/>
      <c r="C856" s="25"/>
    </row>
    <row r="857" spans="1:3" x14ac:dyDescent="0.3">
      <c r="A857" s="10" t="str">
        <f t="shared" si="13"/>
        <v/>
      </c>
      <c r="B857" s="24"/>
      <c r="C857" s="25"/>
    </row>
    <row r="858" spans="1:3" x14ac:dyDescent="0.3">
      <c r="A858" s="10" t="str">
        <f t="shared" si="13"/>
        <v/>
      </c>
      <c r="B858" s="24"/>
      <c r="C858" s="25"/>
    </row>
    <row r="859" spans="1:3" x14ac:dyDescent="0.3">
      <c r="A859" s="10" t="str">
        <f t="shared" si="13"/>
        <v/>
      </c>
      <c r="B859" s="24"/>
      <c r="C859" s="25"/>
    </row>
    <row r="860" spans="1:3" x14ac:dyDescent="0.3">
      <c r="A860" s="10" t="str">
        <f t="shared" si="13"/>
        <v/>
      </c>
      <c r="B860" s="24"/>
      <c r="C860" s="25"/>
    </row>
    <row r="861" spans="1:3" x14ac:dyDescent="0.3">
      <c r="A861" s="10" t="str">
        <f t="shared" si="13"/>
        <v/>
      </c>
      <c r="B861" s="24"/>
      <c r="C861" s="25"/>
    </row>
    <row r="862" spans="1:3" x14ac:dyDescent="0.3">
      <c r="A862" s="10" t="str">
        <f t="shared" si="13"/>
        <v/>
      </c>
      <c r="B862" s="24"/>
      <c r="C862" s="25"/>
    </row>
    <row r="863" spans="1:3" x14ac:dyDescent="0.3">
      <c r="A863" s="10" t="str">
        <f t="shared" si="13"/>
        <v/>
      </c>
      <c r="B863" s="24"/>
      <c r="C863" s="25"/>
    </row>
    <row r="864" spans="1:3" x14ac:dyDescent="0.3">
      <c r="A864" s="10" t="str">
        <f t="shared" si="13"/>
        <v/>
      </c>
      <c r="B864" s="24"/>
      <c r="C864" s="25"/>
    </row>
    <row r="865" spans="1:3" x14ac:dyDescent="0.3">
      <c r="A865" s="10" t="str">
        <f t="shared" si="13"/>
        <v/>
      </c>
      <c r="B865" s="24"/>
      <c r="C865" s="25"/>
    </row>
    <row r="866" spans="1:3" x14ac:dyDescent="0.3">
      <c r="A866" s="10" t="str">
        <f t="shared" si="13"/>
        <v/>
      </c>
      <c r="B866" s="24"/>
      <c r="C866" s="25"/>
    </row>
    <row r="867" spans="1:3" x14ac:dyDescent="0.3">
      <c r="A867" s="10" t="str">
        <f t="shared" si="13"/>
        <v/>
      </c>
      <c r="B867" s="24"/>
      <c r="C867" s="25"/>
    </row>
    <row r="868" spans="1:3" x14ac:dyDescent="0.3">
      <c r="A868" s="10" t="str">
        <f t="shared" si="13"/>
        <v/>
      </c>
      <c r="B868" s="24"/>
      <c r="C868" s="25"/>
    </row>
    <row r="869" spans="1:3" x14ac:dyDescent="0.3">
      <c r="A869" s="10" t="str">
        <f t="shared" si="13"/>
        <v/>
      </c>
      <c r="B869" s="24"/>
      <c r="C869" s="25"/>
    </row>
    <row r="870" spans="1:3" x14ac:dyDescent="0.3">
      <c r="A870" s="10" t="str">
        <f t="shared" si="13"/>
        <v/>
      </c>
      <c r="B870" s="24"/>
      <c r="C870" s="25"/>
    </row>
    <row r="871" spans="1:3" x14ac:dyDescent="0.3">
      <c r="A871" s="10" t="str">
        <f t="shared" si="13"/>
        <v/>
      </c>
      <c r="B871" s="24"/>
      <c r="C871" s="25"/>
    </row>
    <row r="872" spans="1:3" x14ac:dyDescent="0.3">
      <c r="A872" s="10" t="str">
        <f t="shared" si="13"/>
        <v/>
      </c>
      <c r="B872" s="24"/>
      <c r="C872" s="25"/>
    </row>
    <row r="873" spans="1:3" x14ac:dyDescent="0.3">
      <c r="A873" s="10" t="str">
        <f t="shared" si="13"/>
        <v/>
      </c>
      <c r="B873" s="24"/>
      <c r="C873" s="25"/>
    </row>
    <row r="874" spans="1:3" x14ac:dyDescent="0.3">
      <c r="A874" s="10" t="str">
        <f t="shared" si="13"/>
        <v/>
      </c>
      <c r="B874" s="24"/>
      <c r="C874" s="25"/>
    </row>
    <row r="875" spans="1:3" x14ac:dyDescent="0.3">
      <c r="A875" s="10" t="str">
        <f t="shared" si="13"/>
        <v/>
      </c>
      <c r="B875" s="24"/>
      <c r="C875" s="25"/>
    </row>
    <row r="876" spans="1:3" x14ac:dyDescent="0.3">
      <c r="A876" s="10" t="str">
        <f t="shared" si="13"/>
        <v/>
      </c>
      <c r="B876" s="24"/>
      <c r="C876" s="25"/>
    </row>
    <row r="877" spans="1:3" x14ac:dyDescent="0.3">
      <c r="A877" s="10" t="str">
        <f t="shared" si="13"/>
        <v/>
      </c>
      <c r="B877" s="24"/>
      <c r="C877" s="25"/>
    </row>
    <row r="878" spans="1:3" x14ac:dyDescent="0.3">
      <c r="A878" s="10" t="str">
        <f t="shared" si="13"/>
        <v/>
      </c>
      <c r="B878" s="24"/>
      <c r="C878" s="25"/>
    </row>
    <row r="879" spans="1:3" x14ac:dyDescent="0.3">
      <c r="A879" s="10" t="str">
        <f t="shared" si="13"/>
        <v/>
      </c>
      <c r="B879" s="24"/>
      <c r="C879" s="25"/>
    </row>
    <row r="880" spans="1:3" x14ac:dyDescent="0.3">
      <c r="A880" s="10" t="str">
        <f t="shared" si="13"/>
        <v/>
      </c>
      <c r="B880" s="24"/>
      <c r="C880" s="25"/>
    </row>
    <row r="881" spans="1:3" x14ac:dyDescent="0.3">
      <c r="A881" s="10" t="str">
        <f t="shared" si="13"/>
        <v/>
      </c>
      <c r="B881" s="24"/>
      <c r="C881" s="25"/>
    </row>
    <row r="882" spans="1:3" x14ac:dyDescent="0.3">
      <c r="A882" s="10" t="str">
        <f t="shared" si="13"/>
        <v/>
      </c>
      <c r="B882" s="24"/>
      <c r="C882" s="25"/>
    </row>
    <row r="883" spans="1:3" x14ac:dyDescent="0.3">
      <c r="A883" s="10" t="str">
        <f t="shared" si="13"/>
        <v/>
      </c>
      <c r="B883" s="24"/>
      <c r="C883" s="25"/>
    </row>
    <row r="884" spans="1:3" x14ac:dyDescent="0.3">
      <c r="A884" s="10" t="str">
        <f t="shared" si="13"/>
        <v/>
      </c>
      <c r="B884" s="24"/>
      <c r="C884" s="25"/>
    </row>
    <row r="885" spans="1:3" x14ac:dyDescent="0.3">
      <c r="A885" s="10" t="str">
        <f t="shared" si="13"/>
        <v/>
      </c>
      <c r="B885" s="24"/>
      <c r="C885" s="25"/>
    </row>
    <row r="886" spans="1:3" x14ac:dyDescent="0.3">
      <c r="A886" s="10" t="str">
        <f t="shared" si="13"/>
        <v/>
      </c>
      <c r="B886" s="24"/>
      <c r="C886" s="25"/>
    </row>
    <row r="887" spans="1:3" x14ac:dyDescent="0.3">
      <c r="A887" s="10" t="str">
        <f t="shared" si="13"/>
        <v/>
      </c>
      <c r="B887" s="24"/>
      <c r="C887" s="25"/>
    </row>
    <row r="888" spans="1:3" x14ac:dyDescent="0.3">
      <c r="A888" s="10" t="str">
        <f t="shared" si="13"/>
        <v/>
      </c>
      <c r="B888" s="24"/>
      <c r="C888" s="25"/>
    </row>
    <row r="889" spans="1:3" x14ac:dyDescent="0.3">
      <c r="A889" s="10" t="str">
        <f t="shared" si="13"/>
        <v/>
      </c>
      <c r="B889" s="24"/>
      <c r="C889" s="25"/>
    </row>
    <row r="890" spans="1:3" x14ac:dyDescent="0.3">
      <c r="A890" s="10" t="str">
        <f t="shared" si="13"/>
        <v/>
      </c>
      <c r="B890" s="24"/>
      <c r="C890" s="25"/>
    </row>
    <row r="891" spans="1:3" x14ac:dyDescent="0.3">
      <c r="A891" s="10" t="str">
        <f t="shared" si="13"/>
        <v/>
      </c>
      <c r="B891" s="24"/>
      <c r="C891" s="25"/>
    </row>
    <row r="892" spans="1:3" x14ac:dyDescent="0.3">
      <c r="A892" s="10" t="str">
        <f t="shared" si="13"/>
        <v/>
      </c>
      <c r="B892" s="24"/>
      <c r="C892" s="25"/>
    </row>
    <row r="893" spans="1:3" x14ac:dyDescent="0.3">
      <c r="A893" s="10" t="str">
        <f t="shared" si="13"/>
        <v/>
      </c>
      <c r="B893" s="24"/>
      <c r="C893" s="25"/>
    </row>
    <row r="894" spans="1:3" x14ac:dyDescent="0.3">
      <c r="A894" s="10" t="str">
        <f t="shared" si="13"/>
        <v/>
      </c>
      <c r="B894" s="24"/>
      <c r="C894" s="25"/>
    </row>
    <row r="895" spans="1:3" x14ac:dyDescent="0.3">
      <c r="A895" s="10" t="str">
        <f t="shared" si="13"/>
        <v/>
      </c>
      <c r="B895" s="24"/>
      <c r="C895" s="25"/>
    </row>
    <row r="896" spans="1:3" x14ac:dyDescent="0.3">
      <c r="A896" s="10" t="str">
        <f t="shared" si="13"/>
        <v/>
      </c>
      <c r="B896" s="24"/>
      <c r="C896" s="25"/>
    </row>
    <row r="897" spans="1:3" x14ac:dyDescent="0.3">
      <c r="A897" s="10" t="str">
        <f t="shared" si="13"/>
        <v/>
      </c>
      <c r="B897" s="24"/>
      <c r="C897" s="25"/>
    </row>
    <row r="898" spans="1:3" x14ac:dyDescent="0.3">
      <c r="A898" s="10" t="str">
        <f t="shared" si="13"/>
        <v/>
      </c>
      <c r="B898" s="24"/>
      <c r="C898" s="25"/>
    </row>
    <row r="899" spans="1:3" x14ac:dyDescent="0.3">
      <c r="A899" s="10" t="str">
        <f t="shared" si="13"/>
        <v/>
      </c>
      <c r="B899" s="24"/>
      <c r="C899" s="25"/>
    </row>
    <row r="900" spans="1:3" x14ac:dyDescent="0.3">
      <c r="A900" s="10" t="str">
        <f t="shared" si="13"/>
        <v/>
      </c>
      <c r="B900" s="24"/>
      <c r="C900" s="25"/>
    </row>
    <row r="901" spans="1:3" x14ac:dyDescent="0.3">
      <c r="A901" s="10" t="str">
        <f t="shared" si="13"/>
        <v/>
      </c>
      <c r="B901" s="24"/>
      <c r="C901" s="25"/>
    </row>
    <row r="902" spans="1:3" x14ac:dyDescent="0.3">
      <c r="A902" s="10" t="str">
        <f t="shared" si="13"/>
        <v/>
      </c>
      <c r="B902" s="24"/>
      <c r="C902" s="25"/>
    </row>
    <row r="903" spans="1:3" x14ac:dyDescent="0.3">
      <c r="A903" s="10" t="str">
        <f t="shared" si="13"/>
        <v/>
      </c>
      <c r="B903" s="24"/>
      <c r="C903" s="25"/>
    </row>
    <row r="904" spans="1:3" x14ac:dyDescent="0.3">
      <c r="A904" s="10" t="str">
        <f t="shared" si="13"/>
        <v/>
      </c>
      <c r="B904" s="24"/>
      <c r="C904" s="25"/>
    </row>
    <row r="905" spans="1:3" x14ac:dyDescent="0.3">
      <c r="A905" s="10" t="str">
        <f t="shared" si="13"/>
        <v/>
      </c>
      <c r="B905" s="24"/>
      <c r="C905" s="25"/>
    </row>
    <row r="906" spans="1:3" x14ac:dyDescent="0.3">
      <c r="A906" s="10" t="str">
        <f t="shared" si="13"/>
        <v/>
      </c>
      <c r="B906" s="24"/>
      <c r="C906" s="25"/>
    </row>
    <row r="907" spans="1:3" x14ac:dyDescent="0.3">
      <c r="A907" s="10" t="str">
        <f t="shared" ref="A907:A970" si="14">IF(COUNT(B907:C907) =2,ROWS(A907:A907)+906:906,"")</f>
        <v/>
      </c>
      <c r="B907" s="24"/>
      <c r="C907" s="25"/>
    </row>
    <row r="908" spans="1:3" x14ac:dyDescent="0.3">
      <c r="A908" s="10" t="str">
        <f t="shared" si="14"/>
        <v/>
      </c>
      <c r="B908" s="24"/>
      <c r="C908" s="25"/>
    </row>
    <row r="909" spans="1:3" x14ac:dyDescent="0.3">
      <c r="A909" s="10" t="str">
        <f t="shared" si="14"/>
        <v/>
      </c>
      <c r="B909" s="24"/>
      <c r="C909" s="25"/>
    </row>
    <row r="910" spans="1:3" x14ac:dyDescent="0.3">
      <c r="A910" s="10" t="str">
        <f t="shared" si="14"/>
        <v/>
      </c>
      <c r="B910" s="24"/>
      <c r="C910" s="25"/>
    </row>
    <row r="911" spans="1:3" x14ac:dyDescent="0.3">
      <c r="A911" s="10" t="str">
        <f t="shared" si="14"/>
        <v/>
      </c>
      <c r="B911" s="24"/>
      <c r="C911" s="25"/>
    </row>
    <row r="912" spans="1:3" x14ac:dyDescent="0.3">
      <c r="A912" s="10" t="str">
        <f t="shared" si="14"/>
        <v/>
      </c>
      <c r="B912" s="24"/>
      <c r="C912" s="25"/>
    </row>
    <row r="913" spans="1:3" x14ac:dyDescent="0.3">
      <c r="A913" s="10" t="str">
        <f t="shared" si="14"/>
        <v/>
      </c>
      <c r="B913" s="24"/>
      <c r="C913" s="25"/>
    </row>
    <row r="914" spans="1:3" x14ac:dyDescent="0.3">
      <c r="A914" s="10" t="str">
        <f t="shared" si="14"/>
        <v/>
      </c>
      <c r="B914" s="24"/>
      <c r="C914" s="25"/>
    </row>
    <row r="915" spans="1:3" x14ac:dyDescent="0.3">
      <c r="A915" s="10" t="str">
        <f t="shared" si="14"/>
        <v/>
      </c>
      <c r="B915" s="24"/>
      <c r="C915" s="25"/>
    </row>
    <row r="916" spans="1:3" x14ac:dyDescent="0.3">
      <c r="A916" s="10" t="str">
        <f t="shared" si="14"/>
        <v/>
      </c>
      <c r="B916" s="24"/>
      <c r="C916" s="25"/>
    </row>
    <row r="917" spans="1:3" x14ac:dyDescent="0.3">
      <c r="A917" s="10" t="str">
        <f t="shared" si="14"/>
        <v/>
      </c>
      <c r="B917" s="24"/>
      <c r="C917" s="25"/>
    </row>
    <row r="918" spans="1:3" x14ac:dyDescent="0.3">
      <c r="A918" s="10" t="str">
        <f t="shared" si="14"/>
        <v/>
      </c>
      <c r="B918" s="24"/>
      <c r="C918" s="25"/>
    </row>
    <row r="919" spans="1:3" x14ac:dyDescent="0.3">
      <c r="A919" s="10" t="str">
        <f t="shared" si="14"/>
        <v/>
      </c>
      <c r="B919" s="24"/>
      <c r="C919" s="25"/>
    </row>
    <row r="920" spans="1:3" x14ac:dyDescent="0.3">
      <c r="A920" s="10" t="str">
        <f t="shared" si="14"/>
        <v/>
      </c>
      <c r="B920" s="24"/>
      <c r="C920" s="25"/>
    </row>
    <row r="921" spans="1:3" x14ac:dyDescent="0.3">
      <c r="A921" s="10" t="str">
        <f t="shared" si="14"/>
        <v/>
      </c>
      <c r="B921" s="24"/>
      <c r="C921" s="25"/>
    </row>
    <row r="922" spans="1:3" x14ac:dyDescent="0.3">
      <c r="A922" s="10" t="str">
        <f t="shared" si="14"/>
        <v/>
      </c>
      <c r="B922" s="24"/>
      <c r="C922" s="25"/>
    </row>
    <row r="923" spans="1:3" x14ac:dyDescent="0.3">
      <c r="A923" s="10" t="str">
        <f t="shared" si="14"/>
        <v/>
      </c>
      <c r="B923" s="24"/>
      <c r="C923" s="25"/>
    </row>
    <row r="924" spans="1:3" x14ac:dyDescent="0.3">
      <c r="A924" s="10" t="str">
        <f t="shared" si="14"/>
        <v/>
      </c>
      <c r="B924" s="24"/>
      <c r="C924" s="25"/>
    </row>
    <row r="925" spans="1:3" x14ac:dyDescent="0.3">
      <c r="A925" s="10" t="str">
        <f t="shared" si="14"/>
        <v/>
      </c>
      <c r="B925" s="24"/>
      <c r="C925" s="25"/>
    </row>
    <row r="926" spans="1:3" x14ac:dyDescent="0.3">
      <c r="A926" s="10" t="str">
        <f t="shared" si="14"/>
        <v/>
      </c>
      <c r="B926" s="24"/>
      <c r="C926" s="25"/>
    </row>
    <row r="927" spans="1:3" x14ac:dyDescent="0.3">
      <c r="A927" s="10" t="str">
        <f t="shared" si="14"/>
        <v/>
      </c>
      <c r="B927" s="24"/>
      <c r="C927" s="25"/>
    </row>
    <row r="928" spans="1:3" x14ac:dyDescent="0.3">
      <c r="A928" s="10" t="str">
        <f t="shared" si="14"/>
        <v/>
      </c>
      <c r="B928" s="24"/>
      <c r="C928" s="25"/>
    </row>
    <row r="929" spans="1:3" x14ac:dyDescent="0.3">
      <c r="A929" s="10" t="str">
        <f t="shared" si="14"/>
        <v/>
      </c>
      <c r="B929" s="24"/>
      <c r="C929" s="25"/>
    </row>
    <row r="930" spans="1:3" x14ac:dyDescent="0.3">
      <c r="A930" s="10" t="str">
        <f t="shared" si="14"/>
        <v/>
      </c>
      <c r="B930" s="24"/>
      <c r="C930" s="25"/>
    </row>
    <row r="931" spans="1:3" x14ac:dyDescent="0.3">
      <c r="A931" s="10" t="str">
        <f t="shared" si="14"/>
        <v/>
      </c>
      <c r="B931" s="24"/>
      <c r="C931" s="25"/>
    </row>
    <row r="932" spans="1:3" x14ac:dyDescent="0.3">
      <c r="A932" s="10" t="str">
        <f t="shared" si="14"/>
        <v/>
      </c>
      <c r="B932" s="24"/>
      <c r="C932" s="25"/>
    </row>
    <row r="933" spans="1:3" x14ac:dyDescent="0.3">
      <c r="A933" s="10" t="str">
        <f t="shared" si="14"/>
        <v/>
      </c>
      <c r="B933" s="24"/>
      <c r="C933" s="25"/>
    </row>
    <row r="934" spans="1:3" x14ac:dyDescent="0.3">
      <c r="A934" s="10" t="str">
        <f t="shared" si="14"/>
        <v/>
      </c>
      <c r="B934" s="24"/>
      <c r="C934" s="25"/>
    </row>
    <row r="935" spans="1:3" x14ac:dyDescent="0.3">
      <c r="A935" s="10" t="str">
        <f t="shared" si="14"/>
        <v/>
      </c>
      <c r="B935" s="24"/>
      <c r="C935" s="25"/>
    </row>
    <row r="936" spans="1:3" x14ac:dyDescent="0.3">
      <c r="A936" s="10" t="str">
        <f t="shared" si="14"/>
        <v/>
      </c>
      <c r="B936" s="24"/>
      <c r="C936" s="25"/>
    </row>
    <row r="937" spans="1:3" x14ac:dyDescent="0.3">
      <c r="A937" s="10" t="str">
        <f t="shared" si="14"/>
        <v/>
      </c>
      <c r="B937" s="24"/>
      <c r="C937" s="25"/>
    </row>
    <row r="938" spans="1:3" x14ac:dyDescent="0.3">
      <c r="A938" s="10" t="str">
        <f t="shared" si="14"/>
        <v/>
      </c>
      <c r="B938" s="24"/>
      <c r="C938" s="25"/>
    </row>
    <row r="939" spans="1:3" x14ac:dyDescent="0.3">
      <c r="A939" s="10" t="str">
        <f t="shared" si="14"/>
        <v/>
      </c>
      <c r="B939" s="24"/>
      <c r="C939" s="25"/>
    </row>
    <row r="940" spans="1:3" x14ac:dyDescent="0.3">
      <c r="A940" s="10" t="str">
        <f t="shared" si="14"/>
        <v/>
      </c>
      <c r="B940" s="24"/>
      <c r="C940" s="25"/>
    </row>
    <row r="941" spans="1:3" x14ac:dyDescent="0.3">
      <c r="A941" s="10" t="str">
        <f t="shared" si="14"/>
        <v/>
      </c>
      <c r="B941" s="24"/>
      <c r="C941" s="25"/>
    </row>
    <row r="942" spans="1:3" x14ac:dyDescent="0.3">
      <c r="A942" s="10" t="str">
        <f t="shared" si="14"/>
        <v/>
      </c>
      <c r="B942" s="24"/>
      <c r="C942" s="25"/>
    </row>
    <row r="943" spans="1:3" x14ac:dyDescent="0.3">
      <c r="A943" s="10" t="str">
        <f t="shared" si="14"/>
        <v/>
      </c>
      <c r="B943" s="24"/>
      <c r="C943" s="25"/>
    </row>
    <row r="944" spans="1:3" x14ac:dyDescent="0.3">
      <c r="A944" s="10" t="str">
        <f t="shared" si="14"/>
        <v/>
      </c>
      <c r="B944" s="24"/>
      <c r="C944" s="25"/>
    </row>
    <row r="945" spans="1:3" x14ac:dyDescent="0.3">
      <c r="A945" s="10" t="str">
        <f t="shared" si="14"/>
        <v/>
      </c>
      <c r="B945" s="24"/>
      <c r="C945" s="25"/>
    </row>
    <row r="946" spans="1:3" x14ac:dyDescent="0.3">
      <c r="A946" s="10" t="str">
        <f t="shared" si="14"/>
        <v/>
      </c>
      <c r="B946" s="24"/>
      <c r="C946" s="25"/>
    </row>
    <row r="947" spans="1:3" x14ac:dyDescent="0.3">
      <c r="A947" s="10" t="str">
        <f t="shared" si="14"/>
        <v/>
      </c>
      <c r="B947" s="24"/>
      <c r="C947" s="25"/>
    </row>
    <row r="948" spans="1:3" x14ac:dyDescent="0.3">
      <c r="A948" s="10" t="str">
        <f t="shared" si="14"/>
        <v/>
      </c>
      <c r="B948" s="24"/>
      <c r="C948" s="25"/>
    </row>
    <row r="949" spans="1:3" x14ac:dyDescent="0.3">
      <c r="A949" s="10" t="str">
        <f t="shared" si="14"/>
        <v/>
      </c>
      <c r="B949" s="24"/>
      <c r="C949" s="25"/>
    </row>
    <row r="950" spans="1:3" x14ac:dyDescent="0.3">
      <c r="A950" s="10" t="str">
        <f t="shared" si="14"/>
        <v/>
      </c>
      <c r="B950" s="24"/>
      <c r="C950" s="25"/>
    </row>
    <row r="951" spans="1:3" x14ac:dyDescent="0.3">
      <c r="A951" s="10" t="str">
        <f t="shared" si="14"/>
        <v/>
      </c>
      <c r="B951" s="24"/>
      <c r="C951" s="25"/>
    </row>
    <row r="952" spans="1:3" x14ac:dyDescent="0.3">
      <c r="A952" s="10" t="str">
        <f t="shared" si="14"/>
        <v/>
      </c>
      <c r="B952" s="24"/>
      <c r="C952" s="25"/>
    </row>
    <row r="953" spans="1:3" x14ac:dyDescent="0.3">
      <c r="A953" s="10" t="str">
        <f t="shared" si="14"/>
        <v/>
      </c>
      <c r="B953" s="24"/>
      <c r="C953" s="25"/>
    </row>
    <row r="954" spans="1:3" x14ac:dyDescent="0.3">
      <c r="A954" s="10" t="str">
        <f t="shared" si="14"/>
        <v/>
      </c>
      <c r="B954" s="24"/>
      <c r="C954" s="25"/>
    </row>
    <row r="955" spans="1:3" x14ac:dyDescent="0.3">
      <c r="A955" s="10" t="str">
        <f t="shared" si="14"/>
        <v/>
      </c>
      <c r="B955" s="24"/>
      <c r="C955" s="25"/>
    </row>
    <row r="956" spans="1:3" x14ac:dyDescent="0.3">
      <c r="A956" s="10" t="str">
        <f t="shared" si="14"/>
        <v/>
      </c>
      <c r="B956" s="24"/>
      <c r="C956" s="25"/>
    </row>
    <row r="957" spans="1:3" x14ac:dyDescent="0.3">
      <c r="A957" s="10" t="str">
        <f t="shared" si="14"/>
        <v/>
      </c>
      <c r="B957" s="24"/>
      <c r="C957" s="25"/>
    </row>
    <row r="958" spans="1:3" x14ac:dyDescent="0.3">
      <c r="A958" s="10" t="str">
        <f t="shared" si="14"/>
        <v/>
      </c>
      <c r="B958" s="24"/>
      <c r="C958" s="25"/>
    </row>
    <row r="959" spans="1:3" x14ac:dyDescent="0.3">
      <c r="A959" s="10" t="str">
        <f t="shared" si="14"/>
        <v/>
      </c>
      <c r="B959" s="24"/>
      <c r="C959" s="25"/>
    </row>
    <row r="960" spans="1:3" x14ac:dyDescent="0.3">
      <c r="A960" s="10" t="str">
        <f t="shared" si="14"/>
        <v/>
      </c>
      <c r="B960" s="24"/>
      <c r="C960" s="25"/>
    </row>
    <row r="961" spans="1:3" x14ac:dyDescent="0.3">
      <c r="A961" s="10" t="str">
        <f t="shared" si="14"/>
        <v/>
      </c>
      <c r="B961" s="24"/>
      <c r="C961" s="25"/>
    </row>
    <row r="962" spans="1:3" x14ac:dyDescent="0.3">
      <c r="A962" s="10" t="str">
        <f t="shared" si="14"/>
        <v/>
      </c>
      <c r="B962" s="24"/>
      <c r="C962" s="25"/>
    </row>
    <row r="963" spans="1:3" x14ac:dyDescent="0.3">
      <c r="A963" s="10" t="str">
        <f t="shared" si="14"/>
        <v/>
      </c>
      <c r="B963" s="24"/>
      <c r="C963" s="25"/>
    </row>
    <row r="964" spans="1:3" x14ac:dyDescent="0.3">
      <c r="A964" s="10" t="str">
        <f t="shared" si="14"/>
        <v/>
      </c>
      <c r="B964" s="24"/>
      <c r="C964" s="25"/>
    </row>
    <row r="965" spans="1:3" x14ac:dyDescent="0.3">
      <c r="A965" s="10" t="str">
        <f t="shared" si="14"/>
        <v/>
      </c>
      <c r="B965" s="24"/>
      <c r="C965" s="25"/>
    </row>
    <row r="966" spans="1:3" x14ac:dyDescent="0.3">
      <c r="A966" s="10" t="str">
        <f t="shared" si="14"/>
        <v/>
      </c>
      <c r="B966" s="24"/>
      <c r="C966" s="25"/>
    </row>
    <row r="967" spans="1:3" x14ac:dyDescent="0.3">
      <c r="A967" s="10" t="str">
        <f t="shared" si="14"/>
        <v/>
      </c>
      <c r="B967" s="24"/>
      <c r="C967" s="25"/>
    </row>
    <row r="968" spans="1:3" x14ac:dyDescent="0.3">
      <c r="A968" s="10" t="str">
        <f t="shared" si="14"/>
        <v/>
      </c>
      <c r="B968" s="24"/>
      <c r="C968" s="25"/>
    </row>
    <row r="969" spans="1:3" x14ac:dyDescent="0.3">
      <c r="A969" s="10" t="str">
        <f t="shared" si="14"/>
        <v/>
      </c>
      <c r="B969" s="24"/>
      <c r="C969" s="25"/>
    </row>
    <row r="970" spans="1:3" x14ac:dyDescent="0.3">
      <c r="A970" s="10" t="str">
        <f t="shared" si="14"/>
        <v/>
      </c>
      <c r="B970" s="24"/>
      <c r="C970" s="25"/>
    </row>
    <row r="971" spans="1:3" x14ac:dyDescent="0.3">
      <c r="A971" s="10" t="str">
        <f t="shared" ref="A971:A1006" si="15">IF(COUNT(B971:C971) =2,ROWS(A971:A971)+970:970,"")</f>
        <v/>
      </c>
      <c r="B971" s="24"/>
      <c r="C971" s="25"/>
    </row>
    <row r="972" spans="1:3" x14ac:dyDescent="0.3">
      <c r="A972" s="10" t="str">
        <f t="shared" si="15"/>
        <v/>
      </c>
      <c r="B972" s="24"/>
      <c r="C972" s="25"/>
    </row>
    <row r="973" spans="1:3" x14ac:dyDescent="0.3">
      <c r="A973" s="10" t="str">
        <f t="shared" si="15"/>
        <v/>
      </c>
      <c r="B973" s="24"/>
      <c r="C973" s="25"/>
    </row>
    <row r="974" spans="1:3" x14ac:dyDescent="0.3">
      <c r="A974" s="10" t="str">
        <f t="shared" si="15"/>
        <v/>
      </c>
      <c r="B974" s="24"/>
      <c r="C974" s="25"/>
    </row>
    <row r="975" spans="1:3" x14ac:dyDescent="0.3">
      <c r="A975" s="10" t="str">
        <f t="shared" si="15"/>
        <v/>
      </c>
      <c r="B975" s="24"/>
      <c r="C975" s="25"/>
    </row>
    <row r="976" spans="1:3" x14ac:dyDescent="0.3">
      <c r="A976" s="10" t="str">
        <f t="shared" si="15"/>
        <v/>
      </c>
      <c r="B976" s="24"/>
      <c r="C976" s="25"/>
    </row>
    <row r="977" spans="1:3" x14ac:dyDescent="0.3">
      <c r="A977" s="10" t="str">
        <f t="shared" si="15"/>
        <v/>
      </c>
      <c r="B977" s="24"/>
      <c r="C977" s="25"/>
    </row>
    <row r="978" spans="1:3" x14ac:dyDescent="0.3">
      <c r="A978" s="10" t="str">
        <f t="shared" si="15"/>
        <v/>
      </c>
      <c r="B978" s="24"/>
      <c r="C978" s="25"/>
    </row>
    <row r="979" spans="1:3" x14ac:dyDescent="0.3">
      <c r="A979" s="10" t="str">
        <f t="shared" si="15"/>
        <v/>
      </c>
      <c r="B979" s="24"/>
      <c r="C979" s="25"/>
    </row>
    <row r="980" spans="1:3" x14ac:dyDescent="0.3">
      <c r="A980" s="10" t="str">
        <f t="shared" si="15"/>
        <v/>
      </c>
      <c r="B980" s="24"/>
      <c r="C980" s="25"/>
    </row>
    <row r="981" spans="1:3" x14ac:dyDescent="0.3">
      <c r="A981" s="10" t="str">
        <f t="shared" si="15"/>
        <v/>
      </c>
      <c r="B981" s="24"/>
      <c r="C981" s="25"/>
    </row>
    <row r="982" spans="1:3" x14ac:dyDescent="0.3">
      <c r="A982" s="10" t="str">
        <f t="shared" si="15"/>
        <v/>
      </c>
      <c r="B982" s="24"/>
      <c r="C982" s="25"/>
    </row>
    <row r="983" spans="1:3" x14ac:dyDescent="0.3">
      <c r="A983" s="10" t="str">
        <f t="shared" si="15"/>
        <v/>
      </c>
      <c r="B983" s="24"/>
      <c r="C983" s="25"/>
    </row>
    <row r="984" spans="1:3" x14ac:dyDescent="0.3">
      <c r="A984" s="10" t="str">
        <f t="shared" si="15"/>
        <v/>
      </c>
      <c r="B984" s="24"/>
      <c r="C984" s="25"/>
    </row>
    <row r="985" spans="1:3" x14ac:dyDescent="0.3">
      <c r="A985" s="10" t="str">
        <f t="shared" si="15"/>
        <v/>
      </c>
      <c r="B985" s="24"/>
      <c r="C985" s="25"/>
    </row>
    <row r="986" spans="1:3" x14ac:dyDescent="0.3">
      <c r="A986" s="10" t="str">
        <f t="shared" si="15"/>
        <v/>
      </c>
      <c r="B986" s="24"/>
      <c r="C986" s="25"/>
    </row>
    <row r="987" spans="1:3" x14ac:dyDescent="0.3">
      <c r="A987" s="10" t="str">
        <f t="shared" si="15"/>
        <v/>
      </c>
      <c r="B987" s="24"/>
      <c r="C987" s="25"/>
    </row>
    <row r="988" spans="1:3" x14ac:dyDescent="0.3">
      <c r="A988" s="10" t="str">
        <f t="shared" si="15"/>
        <v/>
      </c>
      <c r="B988" s="24"/>
      <c r="C988" s="25"/>
    </row>
    <row r="989" spans="1:3" x14ac:dyDescent="0.3">
      <c r="A989" s="10" t="str">
        <f t="shared" si="15"/>
        <v/>
      </c>
      <c r="B989" s="24"/>
      <c r="C989" s="25"/>
    </row>
    <row r="990" spans="1:3" x14ac:dyDescent="0.3">
      <c r="A990" s="10" t="str">
        <f t="shared" si="15"/>
        <v/>
      </c>
      <c r="B990" s="24"/>
      <c r="C990" s="25"/>
    </row>
    <row r="991" spans="1:3" x14ac:dyDescent="0.3">
      <c r="A991" s="10" t="str">
        <f t="shared" si="15"/>
        <v/>
      </c>
      <c r="B991" s="24"/>
      <c r="C991" s="25"/>
    </row>
    <row r="992" spans="1:3" x14ac:dyDescent="0.3">
      <c r="A992" s="10" t="str">
        <f t="shared" si="15"/>
        <v/>
      </c>
      <c r="B992" s="24"/>
      <c r="C992" s="25"/>
    </row>
    <row r="993" spans="1:3" x14ac:dyDescent="0.3">
      <c r="A993" s="10" t="str">
        <f t="shared" si="15"/>
        <v/>
      </c>
      <c r="B993" s="24"/>
      <c r="C993" s="25"/>
    </row>
    <row r="994" spans="1:3" x14ac:dyDescent="0.3">
      <c r="A994" s="10" t="str">
        <f t="shared" si="15"/>
        <v/>
      </c>
      <c r="B994" s="24"/>
      <c r="C994" s="25"/>
    </row>
    <row r="995" spans="1:3" x14ac:dyDescent="0.3">
      <c r="A995" s="10" t="str">
        <f t="shared" si="15"/>
        <v/>
      </c>
      <c r="B995" s="24"/>
      <c r="C995" s="25"/>
    </row>
    <row r="996" spans="1:3" x14ac:dyDescent="0.3">
      <c r="A996" s="10" t="str">
        <f t="shared" si="15"/>
        <v/>
      </c>
      <c r="B996" s="24"/>
      <c r="C996" s="25"/>
    </row>
    <row r="997" spans="1:3" x14ac:dyDescent="0.3">
      <c r="A997" s="10" t="str">
        <f t="shared" si="15"/>
        <v/>
      </c>
      <c r="B997" s="24"/>
      <c r="C997" s="25"/>
    </row>
    <row r="998" spans="1:3" x14ac:dyDescent="0.3">
      <c r="A998" s="10" t="str">
        <f t="shared" si="15"/>
        <v/>
      </c>
      <c r="B998" s="24"/>
      <c r="C998" s="25"/>
    </row>
    <row r="999" spans="1:3" x14ac:dyDescent="0.3">
      <c r="A999" s="10" t="str">
        <f t="shared" si="15"/>
        <v/>
      </c>
      <c r="B999" s="24"/>
      <c r="C999" s="25"/>
    </row>
    <row r="1000" spans="1:3" x14ac:dyDescent="0.3">
      <c r="A1000" s="10" t="str">
        <f t="shared" si="15"/>
        <v/>
      </c>
      <c r="B1000" s="24"/>
      <c r="C1000" s="25"/>
    </row>
    <row r="1001" spans="1:3" x14ac:dyDescent="0.3">
      <c r="A1001" s="10" t="str">
        <f t="shared" si="15"/>
        <v/>
      </c>
      <c r="B1001" s="24"/>
      <c r="C1001" s="25"/>
    </row>
    <row r="1002" spans="1:3" x14ac:dyDescent="0.3">
      <c r="A1002" s="10" t="str">
        <f t="shared" si="15"/>
        <v/>
      </c>
      <c r="B1002" s="24"/>
      <c r="C1002" s="25"/>
    </row>
    <row r="1003" spans="1:3" x14ac:dyDescent="0.3">
      <c r="A1003" s="10" t="str">
        <f t="shared" si="15"/>
        <v/>
      </c>
      <c r="B1003" s="24"/>
      <c r="C1003" s="25"/>
    </row>
    <row r="1004" spans="1:3" x14ac:dyDescent="0.3">
      <c r="A1004" s="10" t="str">
        <f t="shared" si="15"/>
        <v/>
      </c>
      <c r="B1004" s="24"/>
      <c r="C1004" s="25"/>
    </row>
    <row r="1005" spans="1:3" x14ac:dyDescent="0.3">
      <c r="A1005" s="10" t="str">
        <f t="shared" si="15"/>
        <v/>
      </c>
      <c r="B1005" s="24"/>
      <c r="C1005" s="25"/>
    </row>
    <row r="1006" spans="1:3" x14ac:dyDescent="0.3">
      <c r="A1006" s="10" t="str">
        <f t="shared" si="15"/>
        <v/>
      </c>
      <c r="B1006" s="24"/>
      <c r="C1006" s="25"/>
    </row>
    <row r="1007" spans="1:3" x14ac:dyDescent="0.3">
      <c r="B1007" s="25"/>
      <c r="C1007" s="25"/>
    </row>
    <row r="1008" spans="1:3" x14ac:dyDescent="0.3">
      <c r="B1008" s="25"/>
      <c r="C1008" s="25"/>
    </row>
    <row r="1009" spans="2:3" x14ac:dyDescent="0.3">
      <c r="B1009" s="25"/>
      <c r="C1009" s="25"/>
    </row>
    <row r="1010" spans="2:3" x14ac:dyDescent="0.3">
      <c r="B1010" s="25"/>
      <c r="C1010" s="25"/>
    </row>
    <row r="1011" spans="2:3" x14ac:dyDescent="0.3">
      <c r="B1011" s="25"/>
      <c r="C1011" s="25"/>
    </row>
    <row r="1012" spans="2:3" x14ac:dyDescent="0.3">
      <c r="B1012" s="25"/>
      <c r="C1012" s="25"/>
    </row>
    <row r="1013" spans="2:3" x14ac:dyDescent="0.3">
      <c r="B1013" s="25"/>
      <c r="C1013" s="25"/>
    </row>
    <row r="1014" spans="2:3" x14ac:dyDescent="0.3">
      <c r="B1014" s="25"/>
      <c r="C1014" s="25"/>
    </row>
    <row r="1015" spans="2:3" x14ac:dyDescent="0.3">
      <c r="B1015" s="25"/>
      <c r="C1015" s="25"/>
    </row>
    <row r="1016" spans="2:3" x14ac:dyDescent="0.3">
      <c r="B1016" s="25"/>
      <c r="C1016" s="25"/>
    </row>
    <row r="1017" spans="2:3" x14ac:dyDescent="0.3">
      <c r="B1017" s="25"/>
      <c r="C1017" s="25"/>
    </row>
    <row r="1018" spans="2:3" x14ac:dyDescent="0.3">
      <c r="B1018" s="25"/>
      <c r="C1018" s="25"/>
    </row>
    <row r="1019" spans="2:3" x14ac:dyDescent="0.3">
      <c r="B1019" s="25"/>
      <c r="C1019" s="25"/>
    </row>
    <row r="1020" spans="2:3" x14ac:dyDescent="0.3">
      <c r="B1020" s="25"/>
      <c r="C1020" s="25"/>
    </row>
    <row r="1021" spans="2:3" x14ac:dyDescent="0.3">
      <c r="B1021" s="25"/>
      <c r="C1021" s="25"/>
    </row>
    <row r="1022" spans="2:3" x14ac:dyDescent="0.3">
      <c r="B1022" s="25"/>
      <c r="C1022" s="25"/>
    </row>
    <row r="1023" spans="2:3" x14ac:dyDescent="0.3">
      <c r="B1023" s="25"/>
      <c r="C1023" s="25"/>
    </row>
    <row r="1024" spans="2:3" x14ac:dyDescent="0.3">
      <c r="B1024" s="25"/>
      <c r="C1024" s="25"/>
    </row>
    <row r="1025" spans="2:3" x14ac:dyDescent="0.3">
      <c r="B1025" s="25"/>
      <c r="C1025" s="25"/>
    </row>
    <row r="1026" spans="2:3" x14ac:dyDescent="0.3">
      <c r="B1026" s="25"/>
      <c r="C1026" s="25"/>
    </row>
    <row r="1027" spans="2:3" x14ac:dyDescent="0.3">
      <c r="B1027" s="25"/>
      <c r="C1027" s="25"/>
    </row>
    <row r="1028" spans="2:3" x14ac:dyDescent="0.3">
      <c r="B1028" s="25"/>
      <c r="C1028" s="25"/>
    </row>
    <row r="1029" spans="2:3" x14ac:dyDescent="0.3">
      <c r="B1029" s="25"/>
      <c r="C1029" s="25"/>
    </row>
    <row r="1030" spans="2:3" x14ac:dyDescent="0.3">
      <c r="B1030" s="25"/>
      <c r="C1030" s="25"/>
    </row>
    <row r="1031" spans="2:3" x14ac:dyDescent="0.3">
      <c r="B1031" s="25"/>
      <c r="C1031" s="25"/>
    </row>
    <row r="1032" spans="2:3" x14ac:dyDescent="0.3">
      <c r="B1032" s="25"/>
      <c r="C1032" s="25"/>
    </row>
    <row r="1033" spans="2:3" x14ac:dyDescent="0.3">
      <c r="B1033" s="25"/>
      <c r="C1033" s="25"/>
    </row>
    <row r="1034" spans="2:3" x14ac:dyDescent="0.3">
      <c r="B1034" s="25"/>
      <c r="C1034" s="25"/>
    </row>
    <row r="1035" spans="2:3" x14ac:dyDescent="0.3">
      <c r="B1035" s="25"/>
      <c r="C1035" s="25"/>
    </row>
    <row r="1036" spans="2:3" x14ac:dyDescent="0.3">
      <c r="B1036" s="25"/>
      <c r="C1036" s="25"/>
    </row>
    <row r="1037" spans="2:3" x14ac:dyDescent="0.3">
      <c r="B1037" s="25"/>
      <c r="C1037" s="25"/>
    </row>
    <row r="1038" spans="2:3" x14ac:dyDescent="0.3">
      <c r="B1038" s="25"/>
      <c r="C1038" s="25"/>
    </row>
    <row r="1039" spans="2:3" x14ac:dyDescent="0.3">
      <c r="B1039" s="25"/>
      <c r="C1039" s="25"/>
    </row>
    <row r="1040" spans="2:3" x14ac:dyDescent="0.3">
      <c r="B1040" s="25"/>
      <c r="C1040" s="25"/>
    </row>
    <row r="1041" spans="2:3" x14ac:dyDescent="0.3">
      <c r="B1041" s="25"/>
      <c r="C1041" s="25"/>
    </row>
    <row r="1042" spans="2:3" x14ac:dyDescent="0.3">
      <c r="B1042" s="25"/>
      <c r="C1042" s="25"/>
    </row>
    <row r="1043" spans="2:3" x14ac:dyDescent="0.3">
      <c r="B1043" s="25"/>
      <c r="C1043" s="25"/>
    </row>
    <row r="1044" spans="2:3" x14ac:dyDescent="0.3">
      <c r="B1044" s="25"/>
      <c r="C1044" s="25"/>
    </row>
    <row r="1045" spans="2:3" x14ac:dyDescent="0.3">
      <c r="B1045" s="25"/>
      <c r="C1045" s="25"/>
    </row>
    <row r="1046" spans="2:3" x14ac:dyDescent="0.3">
      <c r="B1046" s="25"/>
      <c r="C1046" s="25"/>
    </row>
    <row r="1047" spans="2:3" x14ac:dyDescent="0.3">
      <c r="B1047" s="25"/>
      <c r="C1047" s="25"/>
    </row>
    <row r="1048" spans="2:3" x14ac:dyDescent="0.3">
      <c r="B1048" s="25"/>
      <c r="C1048" s="25"/>
    </row>
    <row r="1049" spans="2:3" x14ac:dyDescent="0.3">
      <c r="B1049" s="25"/>
      <c r="C1049" s="25"/>
    </row>
    <row r="1050" spans="2:3" x14ac:dyDescent="0.3">
      <c r="B1050" s="25"/>
      <c r="C1050" s="25"/>
    </row>
    <row r="1051" spans="2:3" x14ac:dyDescent="0.3">
      <c r="B1051" s="25"/>
      <c r="C1051" s="25"/>
    </row>
    <row r="1052" spans="2:3" x14ac:dyDescent="0.3">
      <c r="B1052" s="25"/>
      <c r="C1052" s="25"/>
    </row>
    <row r="1053" spans="2:3" x14ac:dyDescent="0.3">
      <c r="B1053" s="25"/>
      <c r="C1053" s="25"/>
    </row>
    <row r="1054" spans="2:3" x14ac:dyDescent="0.3">
      <c r="B1054" s="25"/>
      <c r="C1054" s="25"/>
    </row>
    <row r="1055" spans="2:3" x14ac:dyDescent="0.3">
      <c r="B1055" s="25"/>
      <c r="C1055" s="25"/>
    </row>
    <row r="1056" spans="2:3" x14ac:dyDescent="0.3">
      <c r="B1056" s="25"/>
      <c r="C1056" s="25"/>
    </row>
    <row r="1057" spans="2:3" x14ac:dyDescent="0.3">
      <c r="B1057" s="25"/>
      <c r="C1057" s="25"/>
    </row>
    <row r="1058" spans="2:3" x14ac:dyDescent="0.3">
      <c r="B1058" s="25"/>
      <c r="C1058" s="25"/>
    </row>
    <row r="1059" spans="2:3" x14ac:dyDescent="0.3">
      <c r="B1059" s="25"/>
      <c r="C1059" s="25"/>
    </row>
    <row r="1060" spans="2:3" x14ac:dyDescent="0.3">
      <c r="B1060" s="25"/>
      <c r="C1060" s="25"/>
    </row>
    <row r="1061" spans="2:3" x14ac:dyDescent="0.3">
      <c r="B1061" s="25"/>
      <c r="C1061" s="25"/>
    </row>
    <row r="1062" spans="2:3" x14ac:dyDescent="0.3">
      <c r="B1062" s="25"/>
      <c r="C1062" s="25"/>
    </row>
    <row r="1063" spans="2:3" x14ac:dyDescent="0.3">
      <c r="B1063" s="25"/>
      <c r="C1063" s="25"/>
    </row>
    <row r="1064" spans="2:3" x14ac:dyDescent="0.3">
      <c r="B1064" s="25"/>
      <c r="C1064" s="25"/>
    </row>
    <row r="1065" spans="2:3" x14ac:dyDescent="0.3">
      <c r="B1065" s="25"/>
      <c r="C1065" s="25"/>
    </row>
    <row r="1066" spans="2:3" x14ac:dyDescent="0.3">
      <c r="B1066" s="25"/>
      <c r="C1066" s="25"/>
    </row>
    <row r="1067" spans="2:3" x14ac:dyDescent="0.3">
      <c r="B1067" s="25"/>
      <c r="C1067" s="25"/>
    </row>
    <row r="1068" spans="2:3" x14ac:dyDescent="0.3">
      <c r="B1068" s="25"/>
      <c r="C1068" s="25"/>
    </row>
    <row r="1069" spans="2:3" x14ac:dyDescent="0.3">
      <c r="B1069" s="25"/>
      <c r="C1069" s="25"/>
    </row>
    <row r="1070" spans="2:3" x14ac:dyDescent="0.3">
      <c r="B1070" s="25"/>
      <c r="C1070" s="25"/>
    </row>
    <row r="1071" spans="2:3" x14ac:dyDescent="0.3">
      <c r="B1071" s="25"/>
      <c r="C1071" s="25"/>
    </row>
    <row r="1072" spans="2:3" x14ac:dyDescent="0.3">
      <c r="B1072" s="25"/>
      <c r="C1072" s="25"/>
    </row>
    <row r="1073" spans="2:3" x14ac:dyDescent="0.3">
      <c r="B1073" s="25"/>
      <c r="C1073" s="25"/>
    </row>
    <row r="1074" spans="2:3" x14ac:dyDescent="0.3">
      <c r="B1074" s="25"/>
      <c r="C1074" s="25"/>
    </row>
    <row r="1075" spans="2:3" x14ac:dyDescent="0.3">
      <c r="B1075" s="25"/>
      <c r="C1075" s="25"/>
    </row>
    <row r="1076" spans="2:3" x14ac:dyDescent="0.3">
      <c r="B1076" s="25"/>
      <c r="C1076" s="25"/>
    </row>
    <row r="1077" spans="2:3" x14ac:dyDescent="0.3">
      <c r="B1077" s="25"/>
      <c r="C1077" s="25"/>
    </row>
    <row r="1078" spans="2:3" x14ac:dyDescent="0.3">
      <c r="B1078" s="25"/>
      <c r="C1078" s="25"/>
    </row>
    <row r="1079" spans="2:3" x14ac:dyDescent="0.3">
      <c r="B1079" s="25"/>
      <c r="C1079" s="25"/>
    </row>
    <row r="1080" spans="2:3" x14ac:dyDescent="0.3">
      <c r="B1080" s="25"/>
      <c r="C1080" s="25"/>
    </row>
    <row r="1081" spans="2:3" x14ac:dyDescent="0.3">
      <c r="B1081" s="25"/>
      <c r="C1081" s="25"/>
    </row>
    <row r="1082" spans="2:3" x14ac:dyDescent="0.3">
      <c r="B1082" s="25"/>
      <c r="C1082" s="25"/>
    </row>
    <row r="1083" spans="2:3" x14ac:dyDescent="0.3">
      <c r="B1083" s="25"/>
      <c r="C1083" s="25"/>
    </row>
    <row r="1084" spans="2:3" x14ac:dyDescent="0.3">
      <c r="B1084" s="25"/>
      <c r="C1084" s="25"/>
    </row>
    <row r="1085" spans="2:3" x14ac:dyDescent="0.3">
      <c r="B1085" s="25"/>
      <c r="C1085" s="25"/>
    </row>
    <row r="1086" spans="2:3" x14ac:dyDescent="0.3">
      <c r="B1086" s="25"/>
      <c r="C1086" s="25"/>
    </row>
    <row r="1087" spans="2:3" x14ac:dyDescent="0.3">
      <c r="B1087" s="25"/>
      <c r="C1087" s="25"/>
    </row>
    <row r="1088" spans="2:3" x14ac:dyDescent="0.3">
      <c r="B1088" s="25"/>
      <c r="C1088" s="25"/>
    </row>
    <row r="1089" spans="2:3" x14ac:dyDescent="0.3">
      <c r="B1089" s="25"/>
      <c r="C1089" s="25"/>
    </row>
    <row r="1090" spans="2:3" x14ac:dyDescent="0.3">
      <c r="B1090" s="25"/>
      <c r="C1090" s="25"/>
    </row>
    <row r="1091" spans="2:3" x14ac:dyDescent="0.3">
      <c r="B1091" s="25"/>
      <c r="C1091" s="25"/>
    </row>
    <row r="1092" spans="2:3" x14ac:dyDescent="0.3">
      <c r="B1092" s="25"/>
      <c r="C1092" s="25"/>
    </row>
    <row r="1093" spans="2:3" x14ac:dyDescent="0.3">
      <c r="B1093" s="25"/>
      <c r="C1093" s="25"/>
    </row>
    <row r="1094" spans="2:3" x14ac:dyDescent="0.3">
      <c r="B1094" s="25"/>
      <c r="C1094" s="25"/>
    </row>
    <row r="1095" spans="2:3" x14ac:dyDescent="0.3">
      <c r="B1095" s="25"/>
      <c r="C1095" s="25"/>
    </row>
    <row r="1096" spans="2:3" x14ac:dyDescent="0.3">
      <c r="B1096" s="25"/>
      <c r="C1096" s="25"/>
    </row>
    <row r="1097" spans="2:3" x14ac:dyDescent="0.3">
      <c r="B1097" s="25"/>
      <c r="C1097" s="25"/>
    </row>
    <row r="1098" spans="2:3" x14ac:dyDescent="0.3">
      <c r="B1098" s="25"/>
      <c r="C1098" s="25"/>
    </row>
    <row r="1099" spans="2:3" x14ac:dyDescent="0.3">
      <c r="B1099" s="25"/>
      <c r="C1099" s="25"/>
    </row>
    <row r="1100" spans="2:3" x14ac:dyDescent="0.3">
      <c r="B1100" s="25"/>
      <c r="C1100" s="25"/>
    </row>
    <row r="1101" spans="2:3" x14ac:dyDescent="0.3">
      <c r="B1101" s="25"/>
      <c r="C1101" s="25"/>
    </row>
    <row r="1102" spans="2:3" x14ac:dyDescent="0.3">
      <c r="B1102" s="25"/>
      <c r="C1102" s="25"/>
    </row>
    <row r="1103" spans="2:3" x14ac:dyDescent="0.3">
      <c r="B1103" s="25"/>
      <c r="C1103" s="25"/>
    </row>
    <row r="1104" spans="2:3" x14ac:dyDescent="0.3">
      <c r="B1104" s="25"/>
      <c r="C1104" s="25"/>
    </row>
    <row r="1105" spans="2:3" x14ac:dyDescent="0.3">
      <c r="B1105" s="25"/>
      <c r="C1105" s="25"/>
    </row>
    <row r="1106" spans="2:3" x14ac:dyDescent="0.3">
      <c r="B1106" s="25"/>
      <c r="C1106" s="25"/>
    </row>
    <row r="1107" spans="2:3" x14ac:dyDescent="0.3">
      <c r="B1107" s="25"/>
      <c r="C1107" s="25"/>
    </row>
    <row r="1108" spans="2:3" x14ac:dyDescent="0.3">
      <c r="B1108" s="25"/>
      <c r="C1108" s="25"/>
    </row>
    <row r="1109" spans="2:3" x14ac:dyDescent="0.3">
      <c r="B1109" s="25"/>
      <c r="C1109" s="25"/>
    </row>
    <row r="1110" spans="2:3" x14ac:dyDescent="0.3">
      <c r="B1110" s="25"/>
      <c r="C1110" s="25"/>
    </row>
    <row r="1111" spans="2:3" x14ac:dyDescent="0.3">
      <c r="B1111" s="25"/>
      <c r="C1111" s="25"/>
    </row>
    <row r="1112" spans="2:3" x14ac:dyDescent="0.3">
      <c r="B1112" s="25"/>
      <c r="C1112" s="25"/>
    </row>
    <row r="1113" spans="2:3" x14ac:dyDescent="0.3">
      <c r="B1113" s="25"/>
      <c r="C1113" s="25"/>
    </row>
    <row r="1114" spans="2:3" x14ac:dyDescent="0.3">
      <c r="B1114" s="25"/>
      <c r="C1114" s="25"/>
    </row>
    <row r="1115" spans="2:3" x14ac:dyDescent="0.3">
      <c r="B1115" s="25"/>
      <c r="C1115" s="25"/>
    </row>
    <row r="1116" spans="2:3" x14ac:dyDescent="0.3">
      <c r="B1116" s="25"/>
      <c r="C1116" s="25"/>
    </row>
    <row r="1117" spans="2:3" x14ac:dyDescent="0.3">
      <c r="B1117" s="25"/>
      <c r="C1117" s="25"/>
    </row>
    <row r="1118" spans="2:3" x14ac:dyDescent="0.3">
      <c r="B1118" s="25"/>
      <c r="C1118" s="25"/>
    </row>
    <row r="1119" spans="2:3" x14ac:dyDescent="0.3">
      <c r="B1119" s="25"/>
      <c r="C1119" s="25"/>
    </row>
    <row r="1120" spans="2:3" x14ac:dyDescent="0.3">
      <c r="B1120" s="25"/>
      <c r="C1120" s="25"/>
    </row>
    <row r="1121" spans="2:3" x14ac:dyDescent="0.3">
      <c r="B1121" s="25"/>
      <c r="C1121" s="25"/>
    </row>
    <row r="1122" spans="2:3" x14ac:dyDescent="0.3">
      <c r="B1122" s="25"/>
      <c r="C1122" s="25"/>
    </row>
    <row r="1123" spans="2:3" x14ac:dyDescent="0.3">
      <c r="B1123" s="25"/>
      <c r="C1123" s="25"/>
    </row>
    <row r="1124" spans="2:3" x14ac:dyDescent="0.3">
      <c r="B1124" s="25"/>
      <c r="C1124" s="25"/>
    </row>
    <row r="1125" spans="2:3" x14ac:dyDescent="0.3">
      <c r="B1125" s="25"/>
      <c r="C1125" s="25"/>
    </row>
    <row r="1126" spans="2:3" x14ac:dyDescent="0.3">
      <c r="B1126" s="25"/>
      <c r="C1126" s="25"/>
    </row>
    <row r="1127" spans="2:3" x14ac:dyDescent="0.3">
      <c r="B1127" s="25"/>
      <c r="C1127" s="25"/>
    </row>
    <row r="1128" spans="2:3" x14ac:dyDescent="0.3">
      <c r="B1128" s="25"/>
      <c r="C1128" s="25"/>
    </row>
    <row r="1129" spans="2:3" x14ac:dyDescent="0.3">
      <c r="B1129" s="25"/>
      <c r="C1129" s="25"/>
    </row>
    <row r="1130" spans="2:3" x14ac:dyDescent="0.3">
      <c r="B1130" s="25"/>
      <c r="C1130" s="25"/>
    </row>
    <row r="1131" spans="2:3" x14ac:dyDescent="0.3">
      <c r="B1131" s="25"/>
      <c r="C1131" s="25"/>
    </row>
    <row r="1132" spans="2:3" x14ac:dyDescent="0.3">
      <c r="B1132" s="25"/>
      <c r="C1132" s="25"/>
    </row>
    <row r="1133" spans="2:3" x14ac:dyDescent="0.3">
      <c r="B1133" s="25"/>
      <c r="C1133" s="25"/>
    </row>
    <row r="1134" spans="2:3" x14ac:dyDescent="0.3">
      <c r="B1134" s="25"/>
      <c r="C1134" s="25"/>
    </row>
    <row r="1135" spans="2:3" x14ac:dyDescent="0.3">
      <c r="B1135" s="25"/>
      <c r="C1135" s="25"/>
    </row>
    <row r="1136" spans="2:3" x14ac:dyDescent="0.3">
      <c r="B1136" s="25"/>
      <c r="C1136" s="25"/>
    </row>
    <row r="1137" spans="2:3" x14ac:dyDescent="0.3">
      <c r="B1137" s="25"/>
      <c r="C1137" s="25"/>
    </row>
    <row r="1138" spans="2:3" x14ac:dyDescent="0.3">
      <c r="B1138" s="25"/>
      <c r="C1138" s="25"/>
    </row>
    <row r="1139" spans="2:3" x14ac:dyDescent="0.3">
      <c r="B1139" s="25"/>
      <c r="C1139" s="25"/>
    </row>
    <row r="1140" spans="2:3" x14ac:dyDescent="0.3">
      <c r="B1140" s="25"/>
      <c r="C1140" s="25"/>
    </row>
    <row r="1141" spans="2:3" x14ac:dyDescent="0.3">
      <c r="B1141" s="25"/>
      <c r="C1141" s="25"/>
    </row>
    <row r="1142" spans="2:3" x14ac:dyDescent="0.3">
      <c r="B1142" s="25"/>
      <c r="C1142" s="25"/>
    </row>
    <row r="1143" spans="2:3" x14ac:dyDescent="0.3">
      <c r="B1143" s="25"/>
      <c r="C1143" s="25"/>
    </row>
    <row r="1144" spans="2:3" x14ac:dyDescent="0.3">
      <c r="B1144" s="25"/>
      <c r="C1144" s="25"/>
    </row>
    <row r="1145" spans="2:3" x14ac:dyDescent="0.3">
      <c r="B1145" s="25"/>
      <c r="C1145" s="25"/>
    </row>
    <row r="1146" spans="2:3" x14ac:dyDescent="0.3">
      <c r="B1146" s="25"/>
      <c r="C1146" s="25"/>
    </row>
    <row r="1147" spans="2:3" x14ac:dyDescent="0.3">
      <c r="B1147" s="25"/>
      <c r="C1147" s="25"/>
    </row>
    <row r="1148" spans="2:3" x14ac:dyDescent="0.3">
      <c r="B1148" s="25"/>
      <c r="C1148" s="25"/>
    </row>
    <row r="1149" spans="2:3" x14ac:dyDescent="0.3">
      <c r="B1149" s="25"/>
      <c r="C1149" s="25"/>
    </row>
    <row r="1150" spans="2:3" x14ac:dyDescent="0.3">
      <c r="B1150" s="25"/>
      <c r="C1150" s="25"/>
    </row>
    <row r="1151" spans="2:3" x14ac:dyDescent="0.3">
      <c r="B1151" s="25"/>
      <c r="C1151" s="25"/>
    </row>
    <row r="1152" spans="2:3" x14ac:dyDescent="0.3">
      <c r="B1152" s="25"/>
      <c r="C1152" s="25"/>
    </row>
    <row r="1153" spans="2:3" x14ac:dyDescent="0.3">
      <c r="B1153" s="25"/>
      <c r="C1153" s="25"/>
    </row>
    <row r="1154" spans="2:3" x14ac:dyDescent="0.3">
      <c r="B1154" s="25"/>
      <c r="C1154" s="25"/>
    </row>
    <row r="1155" spans="2:3" x14ac:dyDescent="0.3">
      <c r="B1155" s="25"/>
      <c r="C1155" s="25"/>
    </row>
    <row r="1156" spans="2:3" x14ac:dyDescent="0.3">
      <c r="B1156" s="25"/>
      <c r="C1156" s="25"/>
    </row>
    <row r="1157" spans="2:3" x14ac:dyDescent="0.3">
      <c r="B1157" s="25"/>
      <c r="C1157" s="25"/>
    </row>
    <row r="1158" spans="2:3" x14ac:dyDescent="0.3">
      <c r="B1158" s="25"/>
      <c r="C1158" s="25"/>
    </row>
    <row r="1159" spans="2:3" x14ac:dyDescent="0.3">
      <c r="B1159" s="25"/>
      <c r="C1159" s="25"/>
    </row>
    <row r="1160" spans="2:3" x14ac:dyDescent="0.3">
      <c r="B1160" s="25"/>
      <c r="C1160" s="25"/>
    </row>
    <row r="1161" spans="2:3" x14ac:dyDescent="0.3">
      <c r="B1161" s="25"/>
      <c r="C1161" s="25"/>
    </row>
    <row r="1162" spans="2:3" x14ac:dyDescent="0.3">
      <c r="B1162" s="25"/>
      <c r="C1162" s="25"/>
    </row>
    <row r="1163" spans="2:3" x14ac:dyDescent="0.3">
      <c r="B1163" s="25"/>
      <c r="C1163" s="25"/>
    </row>
    <row r="1164" spans="2:3" x14ac:dyDescent="0.3">
      <c r="B1164" s="25"/>
      <c r="C1164" s="25"/>
    </row>
    <row r="1165" spans="2:3" x14ac:dyDescent="0.3">
      <c r="B1165" s="25"/>
      <c r="C1165" s="25"/>
    </row>
    <row r="1166" spans="2:3" x14ac:dyDescent="0.3">
      <c r="B1166" s="25"/>
      <c r="C1166" s="25"/>
    </row>
    <row r="1167" spans="2:3" x14ac:dyDescent="0.3">
      <c r="B1167" s="25"/>
      <c r="C1167" s="25"/>
    </row>
    <row r="1168" spans="2:3" x14ac:dyDescent="0.3">
      <c r="B1168" s="25"/>
      <c r="C1168" s="25"/>
    </row>
    <row r="1169" spans="2:3" x14ac:dyDescent="0.3">
      <c r="B1169" s="25"/>
      <c r="C1169" s="25"/>
    </row>
    <row r="1170" spans="2:3" x14ac:dyDescent="0.3">
      <c r="B1170" s="25"/>
      <c r="C1170" s="25"/>
    </row>
    <row r="1171" spans="2:3" x14ac:dyDescent="0.3">
      <c r="B1171" s="25"/>
      <c r="C1171" s="25"/>
    </row>
    <row r="1172" spans="2:3" x14ac:dyDescent="0.3">
      <c r="B1172" s="25"/>
      <c r="C1172" s="25"/>
    </row>
    <row r="1173" spans="2:3" x14ac:dyDescent="0.3">
      <c r="B1173" s="25"/>
      <c r="C1173" s="25"/>
    </row>
    <row r="1174" spans="2:3" x14ac:dyDescent="0.3">
      <c r="B1174" s="25"/>
      <c r="C1174" s="25"/>
    </row>
    <row r="1175" spans="2:3" x14ac:dyDescent="0.3">
      <c r="B1175" s="25"/>
      <c r="C1175" s="25"/>
    </row>
    <row r="1176" spans="2:3" x14ac:dyDescent="0.3">
      <c r="B1176" s="25"/>
      <c r="C1176" s="25"/>
    </row>
    <row r="1177" spans="2:3" x14ac:dyDescent="0.3">
      <c r="B1177" s="25"/>
      <c r="C1177" s="25"/>
    </row>
    <row r="1178" spans="2:3" x14ac:dyDescent="0.3">
      <c r="B1178" s="25"/>
      <c r="C1178" s="25"/>
    </row>
    <row r="1179" spans="2:3" x14ac:dyDescent="0.3">
      <c r="B1179" s="25"/>
      <c r="C1179" s="25"/>
    </row>
    <row r="1180" spans="2:3" x14ac:dyDescent="0.3">
      <c r="B1180" s="25"/>
      <c r="C1180" s="25"/>
    </row>
    <row r="1181" spans="2:3" x14ac:dyDescent="0.3">
      <c r="B1181" s="25"/>
      <c r="C1181" s="25"/>
    </row>
    <row r="1182" spans="2:3" x14ac:dyDescent="0.3">
      <c r="B1182" s="25"/>
      <c r="C1182" s="25"/>
    </row>
    <row r="1183" spans="2:3" x14ac:dyDescent="0.3">
      <c r="B1183" s="25"/>
      <c r="C1183" s="25"/>
    </row>
    <row r="1184" spans="2:3" x14ac:dyDescent="0.3">
      <c r="B1184" s="25"/>
      <c r="C1184" s="25"/>
    </row>
    <row r="1185" spans="2:3" x14ac:dyDescent="0.3">
      <c r="B1185" s="25"/>
      <c r="C1185" s="25"/>
    </row>
    <row r="1186" spans="2:3" x14ac:dyDescent="0.3">
      <c r="B1186" s="25"/>
      <c r="C1186" s="25"/>
    </row>
    <row r="1187" spans="2:3" x14ac:dyDescent="0.3">
      <c r="B1187" s="25"/>
      <c r="C1187" s="25"/>
    </row>
    <row r="1188" spans="2:3" x14ac:dyDescent="0.3">
      <c r="B1188" s="25"/>
      <c r="C1188" s="25"/>
    </row>
    <row r="1189" spans="2:3" x14ac:dyDescent="0.3">
      <c r="B1189" s="25"/>
      <c r="C1189" s="25"/>
    </row>
    <row r="1190" spans="2:3" x14ac:dyDescent="0.3">
      <c r="B1190" s="25"/>
      <c r="C1190" s="25"/>
    </row>
    <row r="1191" spans="2:3" x14ac:dyDescent="0.3">
      <c r="B1191" s="25"/>
      <c r="C1191" s="25"/>
    </row>
    <row r="1192" spans="2:3" x14ac:dyDescent="0.3">
      <c r="B1192" s="25"/>
      <c r="C1192" s="25"/>
    </row>
    <row r="1193" spans="2:3" x14ac:dyDescent="0.3">
      <c r="B1193" s="25"/>
      <c r="C1193" s="25"/>
    </row>
    <row r="1194" spans="2:3" x14ac:dyDescent="0.3">
      <c r="B1194" s="25"/>
      <c r="C1194" s="25"/>
    </row>
    <row r="1195" spans="2:3" x14ac:dyDescent="0.3">
      <c r="B1195" s="25"/>
      <c r="C1195" s="25"/>
    </row>
    <row r="1196" spans="2:3" x14ac:dyDescent="0.3">
      <c r="B1196" s="25"/>
      <c r="C1196" s="25"/>
    </row>
    <row r="1197" spans="2:3" x14ac:dyDescent="0.3">
      <c r="B1197" s="25"/>
      <c r="C1197" s="25"/>
    </row>
    <row r="1198" spans="2:3" x14ac:dyDescent="0.3">
      <c r="B1198" s="25"/>
      <c r="C1198" s="25"/>
    </row>
    <row r="1199" spans="2:3" x14ac:dyDescent="0.3">
      <c r="B1199" s="25"/>
      <c r="C1199" s="25"/>
    </row>
    <row r="1200" spans="2:3" x14ac:dyDescent="0.3">
      <c r="B1200" s="25"/>
      <c r="C1200" s="25"/>
    </row>
    <row r="1201" spans="2:3" x14ac:dyDescent="0.3">
      <c r="B1201" s="25"/>
      <c r="C1201" s="25"/>
    </row>
    <row r="1202" spans="2:3" x14ac:dyDescent="0.3">
      <c r="B1202" s="25"/>
      <c r="C1202" s="25"/>
    </row>
    <row r="1203" spans="2:3" x14ac:dyDescent="0.3">
      <c r="B1203" s="25"/>
      <c r="C1203" s="25"/>
    </row>
    <row r="1204" spans="2:3" x14ac:dyDescent="0.3">
      <c r="B1204" s="25"/>
      <c r="C1204" s="25"/>
    </row>
    <row r="1205" spans="2:3" x14ac:dyDescent="0.3">
      <c r="B1205" s="25"/>
      <c r="C1205" s="25"/>
    </row>
    <row r="1206" spans="2:3" x14ac:dyDescent="0.3">
      <c r="B1206" s="25"/>
      <c r="C1206" s="25"/>
    </row>
    <row r="1207" spans="2:3" x14ac:dyDescent="0.3">
      <c r="B1207" s="25"/>
      <c r="C1207" s="25"/>
    </row>
    <row r="1208" spans="2:3" x14ac:dyDescent="0.3">
      <c r="B1208" s="25"/>
      <c r="C1208" s="25"/>
    </row>
    <row r="1209" spans="2:3" x14ac:dyDescent="0.3">
      <c r="B1209" s="25"/>
      <c r="C1209" s="25"/>
    </row>
    <row r="1210" spans="2:3" x14ac:dyDescent="0.3">
      <c r="B1210" s="25"/>
      <c r="C1210" s="25"/>
    </row>
    <row r="1211" spans="2:3" x14ac:dyDescent="0.3">
      <c r="B1211" s="25"/>
      <c r="C1211" s="25"/>
    </row>
    <row r="1212" spans="2:3" x14ac:dyDescent="0.3">
      <c r="B1212" s="25"/>
      <c r="C1212" s="25"/>
    </row>
    <row r="1213" spans="2:3" x14ac:dyDescent="0.3">
      <c r="B1213" s="25"/>
      <c r="C1213" s="25"/>
    </row>
    <row r="1214" spans="2:3" x14ac:dyDescent="0.3">
      <c r="B1214" s="25"/>
      <c r="C1214" s="25"/>
    </row>
    <row r="1215" spans="2:3" x14ac:dyDescent="0.3">
      <c r="B1215" s="25"/>
      <c r="C1215" s="25"/>
    </row>
    <row r="1216" spans="2:3" x14ac:dyDescent="0.3">
      <c r="B1216" s="25"/>
      <c r="C1216" s="25"/>
    </row>
    <row r="1217" spans="2:3" x14ac:dyDescent="0.3">
      <c r="B1217" s="25"/>
      <c r="C1217" s="25"/>
    </row>
    <row r="1218" spans="2:3" x14ac:dyDescent="0.3">
      <c r="B1218" s="25"/>
      <c r="C1218" s="25"/>
    </row>
    <row r="1219" spans="2:3" x14ac:dyDescent="0.3">
      <c r="B1219" s="25"/>
      <c r="C1219" s="25"/>
    </row>
    <row r="1220" spans="2:3" x14ac:dyDescent="0.3">
      <c r="B1220" s="25"/>
      <c r="C1220" s="25"/>
    </row>
    <row r="1221" spans="2:3" x14ac:dyDescent="0.3">
      <c r="B1221" s="25"/>
      <c r="C1221" s="25"/>
    </row>
    <row r="1222" spans="2:3" x14ac:dyDescent="0.3">
      <c r="B1222" s="25"/>
      <c r="C1222" s="25"/>
    </row>
    <row r="1223" spans="2:3" x14ac:dyDescent="0.3">
      <c r="B1223" s="25"/>
      <c r="C1223" s="25"/>
    </row>
    <row r="1224" spans="2:3" x14ac:dyDescent="0.3">
      <c r="B1224" s="25"/>
      <c r="C1224" s="25"/>
    </row>
    <row r="1225" spans="2:3" x14ac:dyDescent="0.3">
      <c r="B1225" s="25"/>
      <c r="C1225" s="25"/>
    </row>
    <row r="1226" spans="2:3" x14ac:dyDescent="0.3">
      <c r="B1226" s="25"/>
      <c r="C1226" s="25"/>
    </row>
    <row r="1227" spans="2:3" x14ac:dyDescent="0.3">
      <c r="B1227" s="25"/>
      <c r="C1227" s="25"/>
    </row>
    <row r="1228" spans="2:3" x14ac:dyDescent="0.3">
      <c r="B1228" s="25"/>
      <c r="C1228" s="25"/>
    </row>
    <row r="1229" spans="2:3" x14ac:dyDescent="0.3">
      <c r="B1229" s="25"/>
      <c r="C1229" s="25"/>
    </row>
    <row r="1230" spans="2:3" x14ac:dyDescent="0.3">
      <c r="B1230" s="25"/>
      <c r="C1230" s="25"/>
    </row>
    <row r="1231" spans="2:3" x14ac:dyDescent="0.3">
      <c r="B1231" s="25"/>
      <c r="C1231" s="25"/>
    </row>
    <row r="1232" spans="2:3" x14ac:dyDescent="0.3">
      <c r="B1232" s="25"/>
      <c r="C1232" s="25"/>
    </row>
    <row r="1233" spans="2:3" x14ac:dyDescent="0.3">
      <c r="B1233" s="25"/>
      <c r="C1233" s="25"/>
    </row>
    <row r="1234" spans="2:3" x14ac:dyDescent="0.3">
      <c r="B1234" s="25"/>
      <c r="C1234" s="25"/>
    </row>
    <row r="1235" spans="2:3" x14ac:dyDescent="0.3">
      <c r="B1235" s="25"/>
      <c r="C1235" s="25"/>
    </row>
    <row r="1236" spans="2:3" x14ac:dyDescent="0.3">
      <c r="B1236" s="25"/>
      <c r="C1236" s="25"/>
    </row>
    <row r="1237" spans="2:3" x14ac:dyDescent="0.3">
      <c r="B1237" s="25"/>
      <c r="C1237" s="25"/>
    </row>
    <row r="1238" spans="2:3" x14ac:dyDescent="0.3">
      <c r="B1238" s="25"/>
      <c r="C1238" s="25"/>
    </row>
    <row r="1239" spans="2:3" x14ac:dyDescent="0.3">
      <c r="B1239" s="25"/>
      <c r="C1239" s="25"/>
    </row>
    <row r="1240" spans="2:3" x14ac:dyDescent="0.3">
      <c r="B1240" s="25"/>
      <c r="C1240" s="25"/>
    </row>
    <row r="1241" spans="2:3" x14ac:dyDescent="0.3">
      <c r="B1241" s="25"/>
      <c r="C1241" s="25"/>
    </row>
    <row r="1242" spans="2:3" x14ac:dyDescent="0.3">
      <c r="B1242" s="25"/>
      <c r="C1242" s="25"/>
    </row>
    <row r="1243" spans="2:3" x14ac:dyDescent="0.3">
      <c r="B1243" s="25"/>
      <c r="C1243" s="25"/>
    </row>
    <row r="1244" spans="2:3" x14ac:dyDescent="0.3">
      <c r="B1244" s="25"/>
      <c r="C1244" s="25"/>
    </row>
    <row r="1245" spans="2:3" x14ac:dyDescent="0.3">
      <c r="B1245" s="25"/>
      <c r="C1245" s="25"/>
    </row>
    <row r="1246" spans="2:3" x14ac:dyDescent="0.3">
      <c r="B1246" s="25"/>
      <c r="C1246" s="25"/>
    </row>
    <row r="1247" spans="2:3" x14ac:dyDescent="0.3">
      <c r="B1247" s="25"/>
      <c r="C1247" s="25"/>
    </row>
    <row r="1248" spans="2:3" x14ac:dyDescent="0.3">
      <c r="B1248" s="25"/>
      <c r="C1248" s="25"/>
    </row>
    <row r="1249" spans="2:3" x14ac:dyDescent="0.3">
      <c r="B1249" s="25"/>
      <c r="C1249" s="25"/>
    </row>
    <row r="1250" spans="2:3" x14ac:dyDescent="0.3">
      <c r="B1250" s="25"/>
      <c r="C1250" s="25"/>
    </row>
    <row r="1251" spans="2:3" x14ac:dyDescent="0.3">
      <c r="B1251" s="25"/>
      <c r="C1251" s="25"/>
    </row>
    <row r="1252" spans="2:3" x14ac:dyDescent="0.3">
      <c r="B1252" s="25"/>
      <c r="C1252" s="25"/>
    </row>
    <row r="1253" spans="2:3" x14ac:dyDescent="0.3">
      <c r="B1253" s="25"/>
      <c r="C1253" s="25"/>
    </row>
    <row r="1254" spans="2:3" x14ac:dyDescent="0.3">
      <c r="B1254" s="25"/>
      <c r="C1254" s="25"/>
    </row>
    <row r="1255" spans="2:3" x14ac:dyDescent="0.3">
      <c r="B1255" s="25"/>
      <c r="C1255" s="25"/>
    </row>
    <row r="1256" spans="2:3" x14ac:dyDescent="0.3">
      <c r="B1256" s="25"/>
      <c r="C1256" s="25"/>
    </row>
    <row r="1257" spans="2:3" x14ac:dyDescent="0.3">
      <c r="B1257" s="25"/>
      <c r="C1257" s="25"/>
    </row>
    <row r="1258" spans="2:3" x14ac:dyDescent="0.3">
      <c r="B1258" s="25"/>
      <c r="C1258" s="25"/>
    </row>
    <row r="1259" spans="2:3" x14ac:dyDescent="0.3">
      <c r="B1259" s="25"/>
      <c r="C1259" s="25"/>
    </row>
    <row r="1260" spans="2:3" x14ac:dyDescent="0.3">
      <c r="B1260" s="25"/>
      <c r="C1260" s="25"/>
    </row>
    <row r="1261" spans="2:3" x14ac:dyDescent="0.3">
      <c r="B1261" s="25"/>
      <c r="C1261" s="25"/>
    </row>
    <row r="1262" spans="2:3" x14ac:dyDescent="0.3">
      <c r="B1262" s="25"/>
      <c r="C1262" s="25"/>
    </row>
    <row r="1263" spans="2:3" x14ac:dyDescent="0.3">
      <c r="B1263" s="25"/>
      <c r="C1263" s="25"/>
    </row>
    <row r="1264" spans="2:3" x14ac:dyDescent="0.3">
      <c r="B1264" s="25"/>
      <c r="C1264" s="25"/>
    </row>
    <row r="1265" spans="2:3" x14ac:dyDescent="0.3">
      <c r="B1265" s="25"/>
      <c r="C1265" s="25"/>
    </row>
    <row r="1266" spans="2:3" x14ac:dyDescent="0.3">
      <c r="B1266" s="25"/>
      <c r="C1266" s="25"/>
    </row>
    <row r="1267" spans="2:3" x14ac:dyDescent="0.3">
      <c r="B1267" s="25"/>
      <c r="C1267" s="25"/>
    </row>
    <row r="1268" spans="2:3" x14ac:dyDescent="0.3">
      <c r="B1268" s="25"/>
      <c r="C1268" s="25"/>
    </row>
    <row r="1269" spans="2:3" x14ac:dyDescent="0.3">
      <c r="B1269" s="25"/>
      <c r="C1269" s="25"/>
    </row>
    <row r="1270" spans="2:3" x14ac:dyDescent="0.3">
      <c r="B1270" s="25"/>
      <c r="C1270" s="25"/>
    </row>
    <row r="1271" spans="2:3" x14ac:dyDescent="0.3">
      <c r="B1271" s="25"/>
      <c r="C1271" s="25"/>
    </row>
    <row r="1272" spans="2:3" x14ac:dyDescent="0.3">
      <c r="B1272" s="25"/>
      <c r="C1272" s="25"/>
    </row>
    <row r="1273" spans="2:3" x14ac:dyDescent="0.3">
      <c r="B1273" s="25"/>
      <c r="C1273" s="25"/>
    </row>
    <row r="1274" spans="2:3" x14ac:dyDescent="0.3">
      <c r="B1274" s="25"/>
      <c r="C1274" s="25"/>
    </row>
    <row r="1275" spans="2:3" x14ac:dyDescent="0.3">
      <c r="B1275" s="25"/>
      <c r="C1275" s="25"/>
    </row>
    <row r="1276" spans="2:3" x14ac:dyDescent="0.3">
      <c r="B1276" s="25"/>
      <c r="C1276" s="25"/>
    </row>
    <row r="1277" spans="2:3" x14ac:dyDescent="0.3">
      <c r="B1277" s="25"/>
      <c r="C1277" s="25"/>
    </row>
    <row r="1278" spans="2:3" x14ac:dyDescent="0.3">
      <c r="B1278" s="25"/>
      <c r="C1278" s="25"/>
    </row>
    <row r="1279" spans="2:3" x14ac:dyDescent="0.3">
      <c r="B1279" s="25"/>
      <c r="C1279" s="25"/>
    </row>
    <row r="1280" spans="2:3" x14ac:dyDescent="0.3">
      <c r="B1280" s="25"/>
      <c r="C1280" s="25"/>
    </row>
    <row r="1281" spans="2:3" x14ac:dyDescent="0.3">
      <c r="B1281" s="25"/>
      <c r="C1281" s="25"/>
    </row>
    <row r="1282" spans="2:3" x14ac:dyDescent="0.3">
      <c r="B1282" s="25"/>
      <c r="C1282" s="25"/>
    </row>
    <row r="1283" spans="2:3" x14ac:dyDescent="0.3">
      <c r="B1283" s="25"/>
      <c r="C1283" s="25"/>
    </row>
    <row r="1284" spans="2:3" x14ac:dyDescent="0.3">
      <c r="B1284" s="25"/>
      <c r="C1284" s="25"/>
    </row>
    <row r="1285" spans="2:3" x14ac:dyDescent="0.3">
      <c r="B1285" s="25"/>
      <c r="C1285" s="25"/>
    </row>
    <row r="1286" spans="2:3" x14ac:dyDescent="0.3">
      <c r="B1286" s="25"/>
      <c r="C1286" s="25"/>
    </row>
    <row r="1287" spans="2:3" x14ac:dyDescent="0.3">
      <c r="B1287" s="25"/>
      <c r="C1287" s="25"/>
    </row>
    <row r="1288" spans="2:3" x14ac:dyDescent="0.3">
      <c r="B1288" s="25"/>
      <c r="C1288" s="25"/>
    </row>
    <row r="1289" spans="2:3" x14ac:dyDescent="0.3">
      <c r="B1289" s="25"/>
      <c r="C1289" s="25"/>
    </row>
    <row r="1290" spans="2:3" x14ac:dyDescent="0.3">
      <c r="B1290" s="25"/>
      <c r="C1290" s="25"/>
    </row>
    <row r="1291" spans="2:3" x14ac:dyDescent="0.3">
      <c r="B1291" s="25"/>
      <c r="C1291" s="25"/>
    </row>
    <row r="1292" spans="2:3" x14ac:dyDescent="0.3">
      <c r="B1292" s="25"/>
      <c r="C1292" s="25"/>
    </row>
    <row r="1293" spans="2:3" x14ac:dyDescent="0.3">
      <c r="B1293" s="25"/>
      <c r="C1293" s="25"/>
    </row>
    <row r="1294" spans="2:3" x14ac:dyDescent="0.3">
      <c r="B1294" s="25"/>
      <c r="C1294" s="25"/>
    </row>
    <row r="1295" spans="2:3" x14ac:dyDescent="0.3">
      <c r="B1295" s="25"/>
      <c r="C1295" s="25"/>
    </row>
    <row r="1296" spans="2:3" x14ac:dyDescent="0.3">
      <c r="B1296" s="25"/>
      <c r="C1296" s="25"/>
    </row>
    <row r="1297" spans="2:3" x14ac:dyDescent="0.3">
      <c r="B1297" s="25"/>
      <c r="C1297" s="25"/>
    </row>
    <row r="1298" spans="2:3" x14ac:dyDescent="0.3">
      <c r="B1298" s="25"/>
      <c r="C1298" s="25"/>
    </row>
    <row r="1299" spans="2:3" x14ac:dyDescent="0.3">
      <c r="B1299" s="25"/>
      <c r="C1299" s="25"/>
    </row>
    <row r="1300" spans="2:3" x14ac:dyDescent="0.3">
      <c r="B1300" s="25"/>
      <c r="C1300" s="25"/>
    </row>
    <row r="1301" spans="2:3" x14ac:dyDescent="0.3">
      <c r="B1301" s="25"/>
      <c r="C1301" s="25"/>
    </row>
    <row r="1302" spans="2:3" x14ac:dyDescent="0.3">
      <c r="B1302" s="25"/>
      <c r="C1302" s="25"/>
    </row>
    <row r="1303" spans="2:3" x14ac:dyDescent="0.3">
      <c r="B1303" s="25"/>
      <c r="C1303" s="25"/>
    </row>
    <row r="1304" spans="2:3" x14ac:dyDescent="0.3">
      <c r="B1304" s="25"/>
      <c r="C1304" s="25"/>
    </row>
    <row r="1305" spans="2:3" x14ac:dyDescent="0.3">
      <c r="B1305" s="25"/>
      <c r="C1305" s="25"/>
    </row>
    <row r="1306" spans="2:3" x14ac:dyDescent="0.3">
      <c r="B1306" s="25"/>
      <c r="C1306" s="25"/>
    </row>
    <row r="1307" spans="2:3" x14ac:dyDescent="0.3">
      <c r="B1307" s="25"/>
      <c r="C1307" s="25"/>
    </row>
    <row r="1308" spans="2:3" x14ac:dyDescent="0.3">
      <c r="B1308" s="25"/>
      <c r="C1308" s="25"/>
    </row>
    <row r="1309" spans="2:3" x14ac:dyDescent="0.3">
      <c r="B1309" s="25"/>
      <c r="C1309" s="25"/>
    </row>
    <row r="1310" spans="2:3" x14ac:dyDescent="0.3">
      <c r="B1310" s="25"/>
      <c r="C1310" s="25"/>
    </row>
    <row r="1311" spans="2:3" x14ac:dyDescent="0.3">
      <c r="B1311" s="25"/>
      <c r="C1311" s="25"/>
    </row>
    <row r="1312" spans="2:3" x14ac:dyDescent="0.3">
      <c r="B1312" s="25"/>
      <c r="C1312" s="25"/>
    </row>
    <row r="1313" spans="2:3" x14ac:dyDescent="0.3">
      <c r="B1313" s="25"/>
      <c r="C1313" s="25"/>
    </row>
    <row r="1314" spans="2:3" x14ac:dyDescent="0.3">
      <c r="B1314" s="25"/>
      <c r="C1314" s="25"/>
    </row>
    <row r="1315" spans="2:3" x14ac:dyDescent="0.3">
      <c r="B1315" s="25"/>
      <c r="C1315" s="25"/>
    </row>
    <row r="1316" spans="2:3" x14ac:dyDescent="0.3">
      <c r="B1316" s="25"/>
      <c r="C1316" s="25"/>
    </row>
    <row r="1317" spans="2:3" x14ac:dyDescent="0.3">
      <c r="B1317" s="25"/>
      <c r="C1317" s="25"/>
    </row>
    <row r="1318" spans="2:3" x14ac:dyDescent="0.3">
      <c r="B1318" s="25"/>
      <c r="C1318" s="25"/>
    </row>
    <row r="1319" spans="2:3" x14ac:dyDescent="0.3">
      <c r="B1319" s="25"/>
      <c r="C1319" s="25"/>
    </row>
    <row r="1320" spans="2:3" x14ac:dyDescent="0.3">
      <c r="B1320" s="25"/>
      <c r="C1320" s="25"/>
    </row>
    <row r="1321" spans="2:3" x14ac:dyDescent="0.3">
      <c r="B1321" s="25"/>
      <c r="C1321" s="25"/>
    </row>
    <row r="1322" spans="2:3" x14ac:dyDescent="0.3">
      <c r="B1322" s="25"/>
      <c r="C1322" s="25"/>
    </row>
    <row r="1323" spans="2:3" x14ac:dyDescent="0.3">
      <c r="B1323" s="25"/>
      <c r="C1323" s="25"/>
    </row>
    <row r="1324" spans="2:3" x14ac:dyDescent="0.3">
      <c r="B1324" s="25"/>
      <c r="C1324" s="25"/>
    </row>
    <row r="1325" spans="2:3" x14ac:dyDescent="0.3">
      <c r="B1325" s="25"/>
      <c r="C1325" s="25"/>
    </row>
    <row r="1326" spans="2:3" x14ac:dyDescent="0.3">
      <c r="B1326" s="25"/>
      <c r="C1326" s="25"/>
    </row>
    <row r="1327" spans="2:3" x14ac:dyDescent="0.3">
      <c r="B1327" s="25"/>
      <c r="C1327" s="25"/>
    </row>
    <row r="1328" spans="2:3" x14ac:dyDescent="0.3">
      <c r="B1328" s="25"/>
      <c r="C1328" s="25"/>
    </row>
    <row r="1329" spans="2:3" x14ac:dyDescent="0.3">
      <c r="B1329" s="25"/>
      <c r="C1329" s="25"/>
    </row>
    <row r="1330" spans="2:3" x14ac:dyDescent="0.3">
      <c r="B1330" s="25"/>
      <c r="C1330" s="25"/>
    </row>
    <row r="1331" spans="2:3" x14ac:dyDescent="0.3">
      <c r="B1331" s="25"/>
      <c r="C1331" s="25"/>
    </row>
    <row r="1332" spans="2:3" x14ac:dyDescent="0.3">
      <c r="B1332" s="25"/>
      <c r="C1332" s="25"/>
    </row>
    <row r="1333" spans="2:3" x14ac:dyDescent="0.3">
      <c r="B1333" s="25"/>
      <c r="C1333" s="25"/>
    </row>
    <row r="1334" spans="2:3" x14ac:dyDescent="0.3">
      <c r="B1334" s="25"/>
      <c r="C1334" s="25"/>
    </row>
    <row r="1335" spans="2:3" x14ac:dyDescent="0.3">
      <c r="B1335" s="25"/>
      <c r="C1335" s="25"/>
    </row>
    <row r="1336" spans="2:3" x14ac:dyDescent="0.3">
      <c r="B1336" s="25"/>
      <c r="C1336" s="25"/>
    </row>
    <row r="1337" spans="2:3" x14ac:dyDescent="0.3">
      <c r="B1337" s="25"/>
      <c r="C1337" s="25"/>
    </row>
    <row r="1338" spans="2:3" x14ac:dyDescent="0.3">
      <c r="B1338" s="25"/>
      <c r="C1338" s="25"/>
    </row>
    <row r="1339" spans="2:3" x14ac:dyDescent="0.3">
      <c r="B1339" s="25"/>
      <c r="C1339" s="25"/>
    </row>
    <row r="1340" spans="2:3" x14ac:dyDescent="0.3">
      <c r="B1340" s="25"/>
      <c r="C1340" s="25"/>
    </row>
    <row r="1341" spans="2:3" x14ac:dyDescent="0.3">
      <c r="B1341" s="25"/>
      <c r="C1341" s="25"/>
    </row>
    <row r="1342" spans="2:3" x14ac:dyDescent="0.3">
      <c r="B1342" s="25"/>
      <c r="C1342" s="25"/>
    </row>
    <row r="1343" spans="2:3" x14ac:dyDescent="0.3">
      <c r="B1343" s="25"/>
      <c r="C1343" s="25"/>
    </row>
    <row r="1344" spans="2:3" x14ac:dyDescent="0.3">
      <c r="B1344" s="25"/>
      <c r="C1344" s="25"/>
    </row>
    <row r="1345" spans="2:3" x14ac:dyDescent="0.3">
      <c r="B1345" s="25"/>
      <c r="C1345" s="25"/>
    </row>
    <row r="1346" spans="2:3" x14ac:dyDescent="0.3">
      <c r="B1346" s="25"/>
      <c r="C1346" s="25"/>
    </row>
    <row r="1347" spans="2:3" x14ac:dyDescent="0.3">
      <c r="B1347" s="25"/>
      <c r="C1347" s="25"/>
    </row>
    <row r="1348" spans="2:3" x14ac:dyDescent="0.3">
      <c r="B1348" s="25"/>
      <c r="C1348" s="25"/>
    </row>
    <row r="1349" spans="2:3" x14ac:dyDescent="0.3">
      <c r="B1349" s="25"/>
      <c r="C1349" s="25"/>
    </row>
    <row r="1350" spans="2:3" x14ac:dyDescent="0.3">
      <c r="B1350" s="25"/>
      <c r="C1350" s="25"/>
    </row>
    <row r="1351" spans="2:3" x14ac:dyDescent="0.3">
      <c r="B1351" s="25"/>
      <c r="C1351" s="25"/>
    </row>
    <row r="1352" spans="2:3" x14ac:dyDescent="0.3">
      <c r="B1352" s="25"/>
      <c r="C1352" s="25"/>
    </row>
    <row r="1353" spans="2:3" x14ac:dyDescent="0.3">
      <c r="B1353" s="25"/>
      <c r="C1353" s="25"/>
    </row>
    <row r="1354" spans="2:3" x14ac:dyDescent="0.3">
      <c r="B1354" s="25"/>
      <c r="C1354" s="25"/>
    </row>
    <row r="1355" spans="2:3" x14ac:dyDescent="0.3">
      <c r="B1355" s="25"/>
      <c r="C1355" s="25"/>
    </row>
    <row r="1356" spans="2:3" x14ac:dyDescent="0.3">
      <c r="B1356" s="25"/>
      <c r="C1356" s="25"/>
    </row>
    <row r="1357" spans="2:3" x14ac:dyDescent="0.3">
      <c r="B1357" s="25"/>
      <c r="C1357" s="25"/>
    </row>
    <row r="1358" spans="2:3" x14ac:dyDescent="0.3">
      <c r="B1358" s="25"/>
      <c r="C1358" s="25"/>
    </row>
    <row r="1359" spans="2:3" x14ac:dyDescent="0.3">
      <c r="B1359" s="25"/>
      <c r="C1359" s="25"/>
    </row>
    <row r="1360" spans="2:3" x14ac:dyDescent="0.3">
      <c r="B1360" s="25"/>
      <c r="C1360" s="25"/>
    </row>
    <row r="1361" spans="2:3" x14ac:dyDescent="0.3">
      <c r="B1361" s="25"/>
      <c r="C1361" s="25"/>
    </row>
    <row r="1362" spans="2:3" x14ac:dyDescent="0.3">
      <c r="B1362" s="25"/>
      <c r="C1362" s="25"/>
    </row>
    <row r="1363" spans="2:3" x14ac:dyDescent="0.3">
      <c r="B1363" s="25"/>
      <c r="C1363" s="25"/>
    </row>
    <row r="1364" spans="2:3" x14ac:dyDescent="0.3">
      <c r="B1364" s="25"/>
      <c r="C1364" s="25"/>
    </row>
    <row r="1365" spans="2:3" x14ac:dyDescent="0.3">
      <c r="B1365" s="25"/>
      <c r="C1365" s="25"/>
    </row>
    <row r="1366" spans="2:3" x14ac:dyDescent="0.3">
      <c r="B1366" s="25"/>
      <c r="C1366" s="25"/>
    </row>
    <row r="1367" spans="2:3" x14ac:dyDescent="0.3">
      <c r="B1367" s="25"/>
      <c r="C1367" s="25"/>
    </row>
    <row r="1368" spans="2:3" x14ac:dyDescent="0.3">
      <c r="B1368" s="25"/>
      <c r="C1368" s="25"/>
    </row>
    <row r="1369" spans="2:3" x14ac:dyDescent="0.3">
      <c r="B1369" s="25"/>
      <c r="C1369" s="25"/>
    </row>
    <row r="1370" spans="2:3" x14ac:dyDescent="0.3">
      <c r="B1370" s="25"/>
      <c r="C1370" s="25"/>
    </row>
    <row r="1371" spans="2:3" x14ac:dyDescent="0.3">
      <c r="B1371" s="25"/>
      <c r="C1371" s="25"/>
    </row>
    <row r="1372" spans="2:3" x14ac:dyDescent="0.3">
      <c r="B1372" s="25"/>
      <c r="C1372" s="25"/>
    </row>
    <row r="1373" spans="2:3" x14ac:dyDescent="0.3">
      <c r="B1373" s="25"/>
      <c r="C1373" s="25"/>
    </row>
    <row r="1374" spans="2:3" x14ac:dyDescent="0.3">
      <c r="B1374" s="25"/>
      <c r="C1374" s="25"/>
    </row>
    <row r="1375" spans="2:3" x14ac:dyDescent="0.3">
      <c r="B1375" s="25"/>
      <c r="C1375" s="25"/>
    </row>
    <row r="1376" spans="2:3" x14ac:dyDescent="0.3">
      <c r="B1376" s="25"/>
      <c r="C1376" s="25"/>
    </row>
    <row r="1377" spans="2:3" x14ac:dyDescent="0.3">
      <c r="B1377" s="25"/>
      <c r="C1377" s="25"/>
    </row>
    <row r="1378" spans="2:3" x14ac:dyDescent="0.3">
      <c r="B1378" s="25"/>
      <c r="C1378" s="25"/>
    </row>
    <row r="1379" spans="2:3" x14ac:dyDescent="0.3">
      <c r="B1379" s="25"/>
      <c r="C1379" s="25"/>
    </row>
    <row r="1380" spans="2:3" x14ac:dyDescent="0.3">
      <c r="B1380" s="25"/>
      <c r="C1380" s="25"/>
    </row>
    <row r="1381" spans="2:3" x14ac:dyDescent="0.3">
      <c r="B1381" s="25"/>
      <c r="C1381" s="25"/>
    </row>
    <row r="1382" spans="2:3" x14ac:dyDescent="0.3">
      <c r="B1382" s="25"/>
      <c r="C1382" s="25"/>
    </row>
    <row r="1383" spans="2:3" x14ac:dyDescent="0.3">
      <c r="B1383" s="25"/>
      <c r="C1383" s="25"/>
    </row>
    <row r="1384" spans="2:3" x14ac:dyDescent="0.3">
      <c r="B1384" s="25"/>
      <c r="C1384" s="25"/>
    </row>
    <row r="1385" spans="2:3" x14ac:dyDescent="0.3">
      <c r="B1385" s="25"/>
      <c r="C1385" s="25"/>
    </row>
    <row r="1386" spans="2:3" x14ac:dyDescent="0.3">
      <c r="B1386" s="25"/>
      <c r="C1386" s="25"/>
    </row>
    <row r="1387" spans="2:3" x14ac:dyDescent="0.3">
      <c r="B1387" s="25"/>
      <c r="C1387" s="25"/>
    </row>
    <row r="1388" spans="2:3" x14ac:dyDescent="0.3">
      <c r="B1388" s="25"/>
      <c r="C1388" s="25"/>
    </row>
    <row r="1389" spans="2:3" x14ac:dyDescent="0.3">
      <c r="B1389" s="25"/>
      <c r="C1389" s="25"/>
    </row>
    <row r="1390" spans="2:3" x14ac:dyDescent="0.3">
      <c r="B1390" s="25"/>
      <c r="C1390" s="25"/>
    </row>
    <row r="1391" spans="2:3" x14ac:dyDescent="0.3">
      <c r="B1391" s="25"/>
      <c r="C1391" s="25"/>
    </row>
    <row r="1392" spans="2:3" x14ac:dyDescent="0.3">
      <c r="B1392" s="25"/>
      <c r="C1392" s="25"/>
    </row>
    <row r="1393" spans="2:3" x14ac:dyDescent="0.3">
      <c r="B1393" s="25"/>
      <c r="C1393" s="25"/>
    </row>
    <row r="1394" spans="2:3" x14ac:dyDescent="0.3">
      <c r="B1394" s="25"/>
      <c r="C1394" s="25"/>
    </row>
    <row r="1395" spans="2:3" x14ac:dyDescent="0.3">
      <c r="B1395" s="25"/>
      <c r="C1395" s="25"/>
    </row>
    <row r="1396" spans="2:3" x14ac:dyDescent="0.3">
      <c r="B1396" s="25"/>
      <c r="C1396" s="25"/>
    </row>
    <row r="1397" spans="2:3" x14ac:dyDescent="0.3">
      <c r="B1397" s="25"/>
      <c r="C1397" s="25"/>
    </row>
    <row r="1398" spans="2:3" x14ac:dyDescent="0.3">
      <c r="B1398" s="25"/>
      <c r="C1398" s="25"/>
    </row>
    <row r="1399" spans="2:3" x14ac:dyDescent="0.3">
      <c r="B1399" s="25"/>
      <c r="C1399" s="25"/>
    </row>
    <row r="1400" spans="2:3" x14ac:dyDescent="0.3">
      <c r="B1400" s="25"/>
      <c r="C1400" s="25"/>
    </row>
    <row r="1401" spans="2:3" x14ac:dyDescent="0.3">
      <c r="B1401" s="25"/>
      <c r="C1401" s="25"/>
    </row>
    <row r="1402" spans="2:3" x14ac:dyDescent="0.3">
      <c r="B1402" s="25"/>
      <c r="C1402" s="25"/>
    </row>
    <row r="1403" spans="2:3" x14ac:dyDescent="0.3">
      <c r="B1403" s="25"/>
      <c r="C1403" s="25"/>
    </row>
    <row r="1404" spans="2:3" x14ac:dyDescent="0.3">
      <c r="B1404" s="25"/>
      <c r="C1404" s="25"/>
    </row>
    <row r="1405" spans="2:3" x14ac:dyDescent="0.3">
      <c r="B1405" s="25"/>
      <c r="C1405" s="25"/>
    </row>
    <row r="1406" spans="2:3" x14ac:dyDescent="0.3">
      <c r="B1406" s="25"/>
      <c r="C1406" s="25"/>
    </row>
    <row r="1407" spans="2:3" x14ac:dyDescent="0.3">
      <c r="B1407" s="25"/>
      <c r="C1407" s="25"/>
    </row>
    <row r="1408" spans="2:3" x14ac:dyDescent="0.3">
      <c r="B1408" s="25"/>
      <c r="C1408" s="25"/>
    </row>
    <row r="1409" spans="2:3" x14ac:dyDescent="0.3">
      <c r="B1409" s="25"/>
      <c r="C1409" s="25"/>
    </row>
    <row r="1410" spans="2:3" x14ac:dyDescent="0.3">
      <c r="B1410" s="25"/>
      <c r="C1410" s="25"/>
    </row>
    <row r="1411" spans="2:3" x14ac:dyDescent="0.3">
      <c r="B1411" s="25"/>
      <c r="C1411" s="25"/>
    </row>
    <row r="1412" spans="2:3" x14ac:dyDescent="0.3">
      <c r="B1412" s="25"/>
      <c r="C1412" s="25"/>
    </row>
    <row r="1413" spans="2:3" x14ac:dyDescent="0.3">
      <c r="B1413" s="25"/>
      <c r="C1413" s="25"/>
    </row>
    <row r="1414" spans="2:3" x14ac:dyDescent="0.3">
      <c r="B1414" s="25"/>
      <c r="C1414" s="25"/>
    </row>
    <row r="1415" spans="2:3" x14ac:dyDescent="0.3">
      <c r="B1415" s="25"/>
      <c r="C1415" s="25"/>
    </row>
    <row r="1416" spans="2:3" x14ac:dyDescent="0.3">
      <c r="B1416" s="25"/>
      <c r="C1416" s="25"/>
    </row>
    <row r="1417" spans="2:3" x14ac:dyDescent="0.3">
      <c r="B1417" s="25"/>
      <c r="C1417" s="25"/>
    </row>
    <row r="1418" spans="2:3" x14ac:dyDescent="0.3">
      <c r="B1418" s="25"/>
      <c r="C1418" s="25"/>
    </row>
    <row r="1419" spans="2:3" x14ac:dyDescent="0.3">
      <c r="B1419" s="25"/>
      <c r="C1419" s="25"/>
    </row>
    <row r="1420" spans="2:3" x14ac:dyDescent="0.3">
      <c r="B1420" s="25"/>
      <c r="C1420" s="25"/>
    </row>
    <row r="1421" spans="2:3" x14ac:dyDescent="0.3">
      <c r="B1421" s="25"/>
      <c r="C1421" s="25"/>
    </row>
    <row r="1422" spans="2:3" x14ac:dyDescent="0.3">
      <c r="B1422" s="25"/>
      <c r="C1422" s="25"/>
    </row>
    <row r="1423" spans="2:3" x14ac:dyDescent="0.3">
      <c r="B1423" s="25"/>
      <c r="C1423" s="25"/>
    </row>
    <row r="1424" spans="2:3" x14ac:dyDescent="0.3">
      <c r="B1424" s="25"/>
      <c r="C1424" s="25"/>
    </row>
    <row r="1425" spans="2:3" x14ac:dyDescent="0.3">
      <c r="B1425" s="25"/>
      <c r="C1425" s="25"/>
    </row>
    <row r="1426" spans="2:3" x14ac:dyDescent="0.3">
      <c r="B1426" s="25"/>
      <c r="C1426" s="25"/>
    </row>
    <row r="1427" spans="2:3" x14ac:dyDescent="0.3">
      <c r="B1427" s="25"/>
      <c r="C1427" s="25"/>
    </row>
    <row r="1428" spans="2:3" x14ac:dyDescent="0.3">
      <c r="B1428" s="25"/>
      <c r="C1428" s="25"/>
    </row>
    <row r="1429" spans="2:3" x14ac:dyDescent="0.3">
      <c r="B1429" s="25"/>
      <c r="C1429" s="25"/>
    </row>
    <row r="1430" spans="2:3" x14ac:dyDescent="0.3">
      <c r="B1430" s="25"/>
      <c r="C1430" s="25"/>
    </row>
    <row r="1431" spans="2:3" x14ac:dyDescent="0.3">
      <c r="B1431" s="25"/>
      <c r="C1431" s="25"/>
    </row>
    <row r="1432" spans="2:3" x14ac:dyDescent="0.3">
      <c r="B1432" s="25"/>
      <c r="C1432" s="25"/>
    </row>
    <row r="1433" spans="2:3" x14ac:dyDescent="0.3">
      <c r="B1433" s="25"/>
      <c r="C1433" s="25"/>
    </row>
    <row r="1434" spans="2:3" x14ac:dyDescent="0.3">
      <c r="B1434" s="25"/>
      <c r="C1434" s="25"/>
    </row>
    <row r="1435" spans="2:3" x14ac:dyDescent="0.3">
      <c r="B1435" s="25"/>
      <c r="C1435" s="25"/>
    </row>
    <row r="1436" spans="2:3" x14ac:dyDescent="0.3">
      <c r="B1436" s="25"/>
      <c r="C1436" s="25"/>
    </row>
    <row r="1437" spans="2:3" x14ac:dyDescent="0.3">
      <c r="B1437" s="25"/>
      <c r="C1437" s="25"/>
    </row>
    <row r="1438" spans="2:3" x14ac:dyDescent="0.3">
      <c r="B1438" s="25"/>
      <c r="C1438" s="25"/>
    </row>
    <row r="1439" spans="2:3" x14ac:dyDescent="0.3">
      <c r="B1439" s="25"/>
      <c r="C1439" s="25"/>
    </row>
    <row r="1440" spans="2:3" x14ac:dyDescent="0.3">
      <c r="B1440" s="25"/>
      <c r="C1440" s="25"/>
    </row>
    <row r="1441" spans="2:3" x14ac:dyDescent="0.3">
      <c r="B1441" s="25"/>
      <c r="C1441" s="25"/>
    </row>
    <row r="1442" spans="2:3" x14ac:dyDescent="0.3">
      <c r="B1442" s="25"/>
      <c r="C1442" s="25"/>
    </row>
    <row r="1443" spans="2:3" x14ac:dyDescent="0.3">
      <c r="B1443" s="25"/>
      <c r="C1443" s="25"/>
    </row>
    <row r="1444" spans="2:3" x14ac:dyDescent="0.3">
      <c r="B1444" s="25"/>
      <c r="C1444" s="25"/>
    </row>
    <row r="1445" spans="2:3" x14ac:dyDescent="0.3">
      <c r="B1445" s="25"/>
      <c r="C1445" s="25"/>
    </row>
    <row r="1446" spans="2:3" x14ac:dyDescent="0.3">
      <c r="B1446" s="25"/>
      <c r="C1446" s="25"/>
    </row>
    <row r="1447" spans="2:3" x14ac:dyDescent="0.3">
      <c r="B1447" s="25"/>
      <c r="C1447" s="25"/>
    </row>
    <row r="1448" spans="2:3" x14ac:dyDescent="0.3">
      <c r="B1448" s="25"/>
      <c r="C1448" s="25"/>
    </row>
    <row r="1449" spans="2:3" x14ac:dyDescent="0.3">
      <c r="B1449" s="25"/>
      <c r="C1449" s="25"/>
    </row>
    <row r="1450" spans="2:3" x14ac:dyDescent="0.3">
      <c r="B1450" s="25"/>
      <c r="C1450" s="25"/>
    </row>
    <row r="1451" spans="2:3" x14ac:dyDescent="0.3">
      <c r="B1451" s="25"/>
      <c r="C1451" s="25"/>
    </row>
    <row r="1452" spans="2:3" x14ac:dyDescent="0.3">
      <c r="B1452" s="25"/>
      <c r="C1452" s="25"/>
    </row>
    <row r="1453" spans="2:3" x14ac:dyDescent="0.3">
      <c r="B1453" s="25"/>
      <c r="C1453" s="25"/>
    </row>
    <row r="1454" spans="2:3" x14ac:dyDescent="0.3">
      <c r="B1454" s="25"/>
      <c r="C1454" s="25"/>
    </row>
    <row r="1455" spans="2:3" x14ac:dyDescent="0.3">
      <c r="B1455" s="25"/>
      <c r="C1455" s="25"/>
    </row>
    <row r="1456" spans="2:3" x14ac:dyDescent="0.3">
      <c r="B1456" s="25"/>
      <c r="C1456" s="25"/>
    </row>
    <row r="1457" spans="2:3" x14ac:dyDescent="0.3">
      <c r="B1457" s="25"/>
      <c r="C1457" s="25"/>
    </row>
    <row r="1458" spans="2:3" x14ac:dyDescent="0.3">
      <c r="B1458" s="25"/>
      <c r="C1458" s="25"/>
    </row>
    <row r="1459" spans="2:3" x14ac:dyDescent="0.3">
      <c r="B1459" s="25"/>
      <c r="C1459" s="25"/>
    </row>
    <row r="1460" spans="2:3" x14ac:dyDescent="0.3">
      <c r="B1460" s="25"/>
      <c r="C1460" s="25"/>
    </row>
    <row r="1461" spans="2:3" x14ac:dyDescent="0.3">
      <c r="B1461" s="25"/>
      <c r="C1461" s="25"/>
    </row>
    <row r="1462" spans="2:3" x14ac:dyDescent="0.3">
      <c r="B1462" s="25"/>
      <c r="C1462" s="25"/>
    </row>
    <row r="1463" spans="2:3" x14ac:dyDescent="0.3">
      <c r="B1463" s="25"/>
      <c r="C1463" s="25"/>
    </row>
    <row r="1464" spans="2:3" x14ac:dyDescent="0.3">
      <c r="B1464" s="25"/>
      <c r="C1464" s="25"/>
    </row>
    <row r="1465" spans="2:3" x14ac:dyDescent="0.3">
      <c r="B1465" s="25"/>
      <c r="C1465" s="25"/>
    </row>
    <row r="1466" spans="2:3" x14ac:dyDescent="0.3">
      <c r="B1466" s="25"/>
      <c r="C1466" s="25"/>
    </row>
    <row r="1467" spans="2:3" x14ac:dyDescent="0.3">
      <c r="B1467" s="25"/>
      <c r="C1467" s="25"/>
    </row>
    <row r="1468" spans="2:3" x14ac:dyDescent="0.3">
      <c r="B1468" s="25"/>
      <c r="C1468" s="25"/>
    </row>
    <row r="1469" spans="2:3" x14ac:dyDescent="0.3">
      <c r="B1469" s="25"/>
      <c r="C1469" s="25"/>
    </row>
    <row r="1470" spans="2:3" x14ac:dyDescent="0.3">
      <c r="B1470" s="25"/>
      <c r="C1470" s="25"/>
    </row>
    <row r="1471" spans="2:3" x14ac:dyDescent="0.3">
      <c r="B1471" s="25"/>
      <c r="C1471" s="25"/>
    </row>
    <row r="1472" spans="2:3" x14ac:dyDescent="0.3">
      <c r="B1472" s="25"/>
      <c r="C1472" s="25"/>
    </row>
    <row r="1473" spans="2:3" x14ac:dyDescent="0.3">
      <c r="B1473" s="25"/>
      <c r="C1473" s="25"/>
    </row>
    <row r="1474" spans="2:3" x14ac:dyDescent="0.3">
      <c r="B1474" s="25"/>
      <c r="C1474" s="25"/>
    </row>
    <row r="1475" spans="2:3" x14ac:dyDescent="0.3">
      <c r="B1475" s="25"/>
      <c r="C1475" s="25"/>
    </row>
    <row r="1476" spans="2:3" x14ac:dyDescent="0.3">
      <c r="B1476" s="25"/>
      <c r="C1476" s="25"/>
    </row>
    <row r="1477" spans="2:3" x14ac:dyDescent="0.3">
      <c r="B1477" s="25"/>
      <c r="C1477" s="25"/>
    </row>
    <row r="1478" spans="2:3" x14ac:dyDescent="0.3">
      <c r="B1478" s="25"/>
      <c r="C1478" s="25"/>
    </row>
    <row r="1479" spans="2:3" x14ac:dyDescent="0.3">
      <c r="B1479" s="25"/>
      <c r="C1479" s="25"/>
    </row>
    <row r="1480" spans="2:3" x14ac:dyDescent="0.3">
      <c r="B1480" s="25"/>
      <c r="C1480" s="25"/>
    </row>
    <row r="1481" spans="2:3" x14ac:dyDescent="0.3">
      <c r="B1481" s="25"/>
      <c r="C1481" s="25"/>
    </row>
    <row r="1482" spans="2:3" x14ac:dyDescent="0.3">
      <c r="B1482" s="25"/>
      <c r="C1482" s="25"/>
    </row>
    <row r="1483" spans="2:3" x14ac:dyDescent="0.3">
      <c r="B1483" s="25"/>
      <c r="C1483" s="25"/>
    </row>
    <row r="1484" spans="2:3" x14ac:dyDescent="0.3">
      <c r="B1484" s="25"/>
      <c r="C1484" s="25"/>
    </row>
    <row r="1485" spans="2:3" x14ac:dyDescent="0.3">
      <c r="B1485" s="25"/>
      <c r="C1485" s="25"/>
    </row>
    <row r="1486" spans="2:3" x14ac:dyDescent="0.3">
      <c r="B1486" s="25"/>
      <c r="C1486" s="25"/>
    </row>
    <row r="1487" spans="2:3" x14ac:dyDescent="0.3">
      <c r="B1487" s="25"/>
      <c r="C1487" s="25"/>
    </row>
    <row r="1488" spans="2:3" x14ac:dyDescent="0.3">
      <c r="B1488" s="25"/>
      <c r="C1488" s="25"/>
    </row>
    <row r="1489" spans="2:3" x14ac:dyDescent="0.3">
      <c r="B1489" s="25"/>
      <c r="C1489" s="25"/>
    </row>
    <row r="1490" spans="2:3" x14ac:dyDescent="0.3">
      <c r="B1490" s="25"/>
      <c r="C1490" s="25"/>
    </row>
    <row r="1491" spans="2:3" x14ac:dyDescent="0.3">
      <c r="B1491" s="25"/>
      <c r="C1491" s="25"/>
    </row>
    <row r="1492" spans="2:3" x14ac:dyDescent="0.3">
      <c r="B1492" s="25"/>
      <c r="C1492" s="25"/>
    </row>
    <row r="1493" spans="2:3" x14ac:dyDescent="0.3">
      <c r="B1493" s="25"/>
      <c r="C1493" s="25"/>
    </row>
    <row r="1494" spans="2:3" x14ac:dyDescent="0.3">
      <c r="B1494" s="25"/>
      <c r="C1494" s="25"/>
    </row>
    <row r="1495" spans="2:3" x14ac:dyDescent="0.3">
      <c r="B1495" s="25"/>
      <c r="C1495" s="25"/>
    </row>
    <row r="1496" spans="2:3" x14ac:dyDescent="0.3">
      <c r="B1496" s="25"/>
      <c r="C1496" s="25"/>
    </row>
    <row r="1497" spans="2:3" x14ac:dyDescent="0.3">
      <c r="B1497" s="25"/>
      <c r="C1497" s="25"/>
    </row>
    <row r="1498" spans="2:3" x14ac:dyDescent="0.3">
      <c r="B1498" s="25"/>
      <c r="C1498" s="25"/>
    </row>
    <row r="1499" spans="2:3" x14ac:dyDescent="0.3">
      <c r="B1499" s="25"/>
      <c r="C1499" s="25"/>
    </row>
    <row r="1500" spans="2:3" x14ac:dyDescent="0.3">
      <c r="B1500" s="25"/>
      <c r="C1500" s="25"/>
    </row>
    <row r="1501" spans="2:3" x14ac:dyDescent="0.3">
      <c r="B1501" s="25"/>
      <c r="C1501" s="25"/>
    </row>
    <row r="1502" spans="2:3" x14ac:dyDescent="0.3">
      <c r="B1502" s="25"/>
      <c r="C1502" s="25"/>
    </row>
    <row r="1503" spans="2:3" x14ac:dyDescent="0.3">
      <c r="B1503" s="25"/>
      <c r="C1503" s="25"/>
    </row>
    <row r="1504" spans="2:3" x14ac:dyDescent="0.3">
      <c r="B1504" s="25"/>
      <c r="C1504" s="25"/>
    </row>
    <row r="1505" spans="2:3" x14ac:dyDescent="0.3">
      <c r="B1505" s="25"/>
      <c r="C1505" s="25"/>
    </row>
    <row r="1506" spans="2:3" x14ac:dyDescent="0.3">
      <c r="B1506" s="25"/>
      <c r="C1506" s="25"/>
    </row>
    <row r="1507" spans="2:3" x14ac:dyDescent="0.3">
      <c r="B1507" s="25"/>
      <c r="C1507" s="25"/>
    </row>
    <row r="1508" spans="2:3" x14ac:dyDescent="0.3">
      <c r="B1508" s="25"/>
      <c r="C1508" s="25"/>
    </row>
    <row r="1509" spans="2:3" x14ac:dyDescent="0.3">
      <c r="B1509" s="25"/>
      <c r="C1509" s="25"/>
    </row>
    <row r="1510" spans="2:3" x14ac:dyDescent="0.3">
      <c r="B1510" s="25"/>
      <c r="C1510" s="25"/>
    </row>
    <row r="1511" spans="2:3" x14ac:dyDescent="0.3">
      <c r="B1511" s="25"/>
      <c r="C1511" s="25"/>
    </row>
    <row r="1512" spans="2:3" x14ac:dyDescent="0.3">
      <c r="B1512" s="25"/>
      <c r="C1512" s="25"/>
    </row>
    <row r="1513" spans="2:3" x14ac:dyDescent="0.3">
      <c r="B1513" s="25"/>
      <c r="C1513" s="25"/>
    </row>
    <row r="1514" spans="2:3" x14ac:dyDescent="0.3">
      <c r="B1514" s="25"/>
      <c r="C1514" s="25"/>
    </row>
    <row r="1515" spans="2:3" x14ac:dyDescent="0.3">
      <c r="B1515" s="25"/>
      <c r="C1515" s="25"/>
    </row>
    <row r="1516" spans="2:3" x14ac:dyDescent="0.3">
      <c r="B1516" s="25"/>
      <c r="C1516" s="25"/>
    </row>
    <row r="1517" spans="2:3" x14ac:dyDescent="0.3">
      <c r="B1517" s="25"/>
      <c r="C1517" s="25"/>
    </row>
    <row r="1518" spans="2:3" x14ac:dyDescent="0.3">
      <c r="B1518" s="25"/>
      <c r="C1518" s="25"/>
    </row>
    <row r="1519" spans="2:3" x14ac:dyDescent="0.3">
      <c r="B1519" s="25"/>
      <c r="C1519" s="25"/>
    </row>
    <row r="1520" spans="2:3" x14ac:dyDescent="0.3">
      <c r="B1520" s="25"/>
      <c r="C1520" s="25"/>
    </row>
    <row r="1521" spans="2:3" x14ac:dyDescent="0.3">
      <c r="B1521" s="25"/>
      <c r="C1521" s="25"/>
    </row>
    <row r="1522" spans="2:3" x14ac:dyDescent="0.3">
      <c r="B1522" s="25"/>
      <c r="C1522" s="25"/>
    </row>
    <row r="1523" spans="2:3" x14ac:dyDescent="0.3">
      <c r="B1523" s="25"/>
      <c r="C1523" s="25"/>
    </row>
    <row r="1524" spans="2:3" x14ac:dyDescent="0.3">
      <c r="B1524" s="25"/>
      <c r="C1524" s="25"/>
    </row>
    <row r="1525" spans="2:3" x14ac:dyDescent="0.3">
      <c r="B1525" s="25"/>
      <c r="C1525" s="25"/>
    </row>
    <row r="1526" spans="2:3" x14ac:dyDescent="0.3">
      <c r="B1526" s="25"/>
      <c r="C1526" s="25"/>
    </row>
    <row r="1527" spans="2:3" x14ac:dyDescent="0.3">
      <c r="B1527" s="25"/>
      <c r="C1527" s="25"/>
    </row>
    <row r="1528" spans="2:3" x14ac:dyDescent="0.3">
      <c r="B1528" s="25"/>
      <c r="C1528" s="25"/>
    </row>
    <row r="1529" spans="2:3" x14ac:dyDescent="0.3">
      <c r="B1529" s="25"/>
      <c r="C1529" s="25"/>
    </row>
    <row r="1530" spans="2:3" x14ac:dyDescent="0.3">
      <c r="B1530" s="25"/>
      <c r="C1530" s="25"/>
    </row>
    <row r="1531" spans="2:3" x14ac:dyDescent="0.3">
      <c r="B1531" s="25"/>
      <c r="C1531" s="25"/>
    </row>
    <row r="1532" spans="2:3" x14ac:dyDescent="0.3">
      <c r="B1532" s="25"/>
      <c r="C1532" s="25"/>
    </row>
    <row r="1533" spans="2:3" x14ac:dyDescent="0.3">
      <c r="B1533" s="25"/>
      <c r="C1533" s="25"/>
    </row>
    <row r="1534" spans="2:3" x14ac:dyDescent="0.3">
      <c r="B1534" s="25"/>
      <c r="C1534" s="25"/>
    </row>
    <row r="1535" spans="2:3" x14ac:dyDescent="0.3">
      <c r="B1535" s="25"/>
      <c r="C1535" s="25"/>
    </row>
    <row r="1536" spans="2:3" x14ac:dyDescent="0.3">
      <c r="B1536" s="25"/>
      <c r="C1536" s="25"/>
    </row>
    <row r="1537" spans="2:3" x14ac:dyDescent="0.3">
      <c r="B1537" s="25"/>
      <c r="C1537" s="25"/>
    </row>
    <row r="1538" spans="2:3" x14ac:dyDescent="0.3">
      <c r="B1538" s="25"/>
      <c r="C1538" s="25"/>
    </row>
    <row r="1539" spans="2:3" x14ac:dyDescent="0.3">
      <c r="B1539" s="25"/>
      <c r="C1539" s="25"/>
    </row>
    <row r="1540" spans="2:3" x14ac:dyDescent="0.3">
      <c r="B1540" s="25"/>
      <c r="C1540" s="25"/>
    </row>
    <row r="1541" spans="2:3" x14ac:dyDescent="0.3">
      <c r="B1541" s="25"/>
      <c r="C1541" s="25"/>
    </row>
    <row r="1542" spans="2:3" x14ac:dyDescent="0.3">
      <c r="B1542" s="25"/>
      <c r="C1542" s="25"/>
    </row>
    <row r="1543" spans="2:3" x14ac:dyDescent="0.3">
      <c r="B1543" s="25"/>
      <c r="C1543" s="25"/>
    </row>
    <row r="1544" spans="2:3" x14ac:dyDescent="0.3">
      <c r="B1544" s="25"/>
      <c r="C1544" s="25"/>
    </row>
    <row r="1545" spans="2:3" x14ac:dyDescent="0.3">
      <c r="B1545" s="25"/>
      <c r="C1545" s="25"/>
    </row>
    <row r="1546" spans="2:3" x14ac:dyDescent="0.3">
      <c r="B1546" s="25"/>
      <c r="C1546" s="25"/>
    </row>
    <row r="1547" spans="2:3" x14ac:dyDescent="0.3">
      <c r="B1547" s="25"/>
      <c r="C1547" s="25"/>
    </row>
    <row r="1548" spans="2:3" x14ac:dyDescent="0.3">
      <c r="B1548" s="25"/>
      <c r="C1548" s="25"/>
    </row>
    <row r="1549" spans="2:3" x14ac:dyDescent="0.3">
      <c r="B1549" s="25"/>
      <c r="C1549" s="25"/>
    </row>
    <row r="1550" spans="2:3" x14ac:dyDescent="0.3">
      <c r="B1550" s="25"/>
      <c r="C1550" s="25"/>
    </row>
    <row r="1551" spans="2:3" x14ac:dyDescent="0.3">
      <c r="B1551" s="25"/>
      <c r="C1551" s="25"/>
    </row>
    <row r="1552" spans="2:3" x14ac:dyDescent="0.3">
      <c r="B1552" s="25"/>
      <c r="C1552" s="25"/>
    </row>
    <row r="1553" spans="2:3" x14ac:dyDescent="0.3">
      <c r="B1553" s="25"/>
      <c r="C1553" s="25"/>
    </row>
    <row r="1554" spans="2:3" x14ac:dyDescent="0.3">
      <c r="B1554" s="25"/>
      <c r="C1554" s="25"/>
    </row>
    <row r="1555" spans="2:3" x14ac:dyDescent="0.3">
      <c r="B1555" s="25"/>
      <c r="C1555" s="25"/>
    </row>
    <row r="1556" spans="2:3" x14ac:dyDescent="0.3">
      <c r="B1556" s="25"/>
      <c r="C1556" s="25"/>
    </row>
    <row r="1557" spans="2:3" x14ac:dyDescent="0.3">
      <c r="B1557" s="25"/>
      <c r="C1557" s="25"/>
    </row>
    <row r="1558" spans="2:3" x14ac:dyDescent="0.3">
      <c r="B1558" s="25"/>
      <c r="C1558" s="25"/>
    </row>
    <row r="1559" spans="2:3" x14ac:dyDescent="0.3">
      <c r="B1559" s="25"/>
      <c r="C1559" s="25"/>
    </row>
    <row r="1560" spans="2:3" x14ac:dyDescent="0.3">
      <c r="B1560" s="25"/>
      <c r="C1560" s="25"/>
    </row>
    <row r="1561" spans="2:3" x14ac:dyDescent="0.3">
      <c r="B1561" s="25"/>
      <c r="C1561" s="25"/>
    </row>
    <row r="1562" spans="2:3" x14ac:dyDescent="0.3">
      <c r="B1562" s="25"/>
      <c r="C1562" s="25"/>
    </row>
    <row r="1563" spans="2:3" x14ac:dyDescent="0.3">
      <c r="B1563" s="25"/>
      <c r="C1563" s="25"/>
    </row>
    <row r="1564" spans="2:3" x14ac:dyDescent="0.3">
      <c r="B1564" s="25"/>
      <c r="C1564" s="25"/>
    </row>
    <row r="1565" spans="2:3" x14ac:dyDescent="0.3">
      <c r="B1565" s="25"/>
      <c r="C1565" s="25"/>
    </row>
    <row r="1566" spans="2:3" x14ac:dyDescent="0.3">
      <c r="B1566" s="25"/>
      <c r="C1566" s="25"/>
    </row>
    <row r="1567" spans="2:3" x14ac:dyDescent="0.3">
      <c r="B1567" s="25"/>
      <c r="C1567" s="25"/>
    </row>
    <row r="1568" spans="2:3" x14ac:dyDescent="0.3">
      <c r="B1568" s="25"/>
      <c r="C1568" s="25"/>
    </row>
    <row r="1569" spans="2:3" x14ac:dyDescent="0.3">
      <c r="B1569" s="25"/>
      <c r="C1569" s="25"/>
    </row>
    <row r="1570" spans="2:3" x14ac:dyDescent="0.3">
      <c r="B1570" s="25"/>
      <c r="C1570" s="25"/>
    </row>
    <row r="1571" spans="2:3" x14ac:dyDescent="0.3">
      <c r="B1571" s="25"/>
      <c r="C1571" s="25"/>
    </row>
    <row r="1572" spans="2:3" x14ac:dyDescent="0.3">
      <c r="B1572" s="25"/>
      <c r="C1572" s="25"/>
    </row>
    <row r="1573" spans="2:3" x14ac:dyDescent="0.3">
      <c r="B1573" s="25"/>
      <c r="C1573" s="25"/>
    </row>
    <row r="1574" spans="2:3" x14ac:dyDescent="0.3">
      <c r="B1574" s="25"/>
      <c r="C1574" s="25"/>
    </row>
    <row r="1575" spans="2:3" x14ac:dyDescent="0.3">
      <c r="B1575" s="25"/>
      <c r="C1575" s="25"/>
    </row>
    <row r="1576" spans="2:3" x14ac:dyDescent="0.3">
      <c r="B1576" s="25"/>
      <c r="C1576" s="25"/>
    </row>
    <row r="1577" spans="2:3" x14ac:dyDescent="0.3">
      <c r="B1577" s="25"/>
      <c r="C1577" s="25"/>
    </row>
    <row r="1578" spans="2:3" x14ac:dyDescent="0.3">
      <c r="B1578" s="25"/>
      <c r="C1578" s="25"/>
    </row>
    <row r="1579" spans="2:3" x14ac:dyDescent="0.3">
      <c r="B1579" s="25"/>
      <c r="C1579" s="25"/>
    </row>
    <row r="1580" spans="2:3" x14ac:dyDescent="0.3">
      <c r="B1580" s="25"/>
      <c r="C1580" s="25"/>
    </row>
    <row r="1581" spans="2:3" x14ac:dyDescent="0.3">
      <c r="B1581" s="25"/>
      <c r="C1581" s="25"/>
    </row>
    <row r="1582" spans="2:3" x14ac:dyDescent="0.3">
      <c r="B1582" s="25"/>
      <c r="C1582" s="25"/>
    </row>
    <row r="1583" spans="2:3" x14ac:dyDescent="0.3">
      <c r="B1583" s="25"/>
      <c r="C1583" s="25"/>
    </row>
    <row r="1584" spans="2:3" x14ac:dyDescent="0.3">
      <c r="B1584" s="25"/>
      <c r="C1584" s="25"/>
    </row>
    <row r="1585" spans="2:3" x14ac:dyDescent="0.3">
      <c r="B1585" s="25"/>
      <c r="C1585" s="25"/>
    </row>
    <row r="1586" spans="2:3" x14ac:dyDescent="0.3">
      <c r="B1586" s="25"/>
      <c r="C1586" s="25"/>
    </row>
    <row r="1587" spans="2:3" x14ac:dyDescent="0.3">
      <c r="B1587" s="25"/>
      <c r="C1587" s="25"/>
    </row>
    <row r="1588" spans="2:3" x14ac:dyDescent="0.3">
      <c r="B1588" s="25"/>
      <c r="C1588" s="25"/>
    </row>
    <row r="1589" spans="2:3" x14ac:dyDescent="0.3">
      <c r="B1589" s="25"/>
      <c r="C1589" s="25"/>
    </row>
    <row r="1590" spans="2:3" x14ac:dyDescent="0.3">
      <c r="B1590" s="25"/>
      <c r="C1590" s="25"/>
    </row>
    <row r="1591" spans="2:3" x14ac:dyDescent="0.3">
      <c r="B1591" s="25"/>
      <c r="C1591" s="25"/>
    </row>
    <row r="1592" spans="2:3" x14ac:dyDescent="0.3">
      <c r="B1592" s="25"/>
      <c r="C1592" s="25"/>
    </row>
    <row r="1593" spans="2:3" x14ac:dyDescent="0.3">
      <c r="B1593" s="25"/>
      <c r="C1593" s="25"/>
    </row>
    <row r="1594" spans="2:3" x14ac:dyDescent="0.3">
      <c r="B1594" s="25"/>
      <c r="C1594" s="25"/>
    </row>
    <row r="1595" spans="2:3" x14ac:dyDescent="0.3">
      <c r="B1595" s="25"/>
      <c r="C1595" s="25"/>
    </row>
    <row r="1596" spans="2:3" x14ac:dyDescent="0.3">
      <c r="B1596" s="25"/>
      <c r="C1596" s="25"/>
    </row>
    <row r="1597" spans="2:3" x14ac:dyDescent="0.3">
      <c r="B1597" s="25"/>
      <c r="C1597" s="25"/>
    </row>
    <row r="1598" spans="2:3" x14ac:dyDescent="0.3">
      <c r="B1598" s="25"/>
      <c r="C1598" s="25"/>
    </row>
    <row r="1599" spans="2:3" x14ac:dyDescent="0.3">
      <c r="B1599" s="25"/>
      <c r="C1599" s="25"/>
    </row>
    <row r="1600" spans="2:3" x14ac:dyDescent="0.3">
      <c r="B1600" s="25"/>
      <c r="C1600" s="25"/>
    </row>
    <row r="1601" spans="2:3" x14ac:dyDescent="0.3">
      <c r="B1601" s="25"/>
      <c r="C1601" s="25"/>
    </row>
    <row r="1602" spans="2:3" x14ac:dyDescent="0.3">
      <c r="B1602" s="25"/>
      <c r="C1602" s="25"/>
    </row>
    <row r="1603" spans="2:3" x14ac:dyDescent="0.3">
      <c r="B1603" s="25"/>
      <c r="C1603" s="25"/>
    </row>
    <row r="1604" spans="2:3" x14ac:dyDescent="0.3">
      <c r="B1604" s="25"/>
      <c r="C1604" s="25"/>
    </row>
    <row r="1605" spans="2:3" x14ac:dyDescent="0.3">
      <c r="B1605" s="25"/>
      <c r="C1605" s="25"/>
    </row>
    <row r="1606" spans="2:3" x14ac:dyDescent="0.3">
      <c r="B1606" s="25"/>
      <c r="C1606" s="25"/>
    </row>
    <row r="1607" spans="2:3" x14ac:dyDescent="0.3">
      <c r="B1607" s="25"/>
      <c r="C1607" s="25"/>
    </row>
    <row r="1608" spans="2:3" x14ac:dyDescent="0.3">
      <c r="B1608" s="25"/>
      <c r="C1608" s="25"/>
    </row>
    <row r="1609" spans="2:3" x14ac:dyDescent="0.3">
      <c r="B1609" s="25"/>
      <c r="C1609" s="25"/>
    </row>
    <row r="1610" spans="2:3" x14ac:dyDescent="0.3">
      <c r="B1610" s="25"/>
      <c r="C1610" s="25"/>
    </row>
    <row r="1611" spans="2:3" x14ac:dyDescent="0.3">
      <c r="B1611" s="25"/>
      <c r="C1611" s="25"/>
    </row>
    <row r="1612" spans="2:3" x14ac:dyDescent="0.3">
      <c r="B1612" s="25"/>
      <c r="C1612" s="25"/>
    </row>
    <row r="1613" spans="2:3" x14ac:dyDescent="0.3">
      <c r="B1613" s="25"/>
      <c r="C1613" s="25"/>
    </row>
    <row r="1614" spans="2:3" x14ac:dyDescent="0.3">
      <c r="B1614" s="25"/>
      <c r="C1614" s="25"/>
    </row>
    <row r="1615" spans="2:3" x14ac:dyDescent="0.3">
      <c r="B1615" s="25"/>
      <c r="C1615" s="25"/>
    </row>
    <row r="1616" spans="2:3" x14ac:dyDescent="0.3">
      <c r="B1616" s="25"/>
      <c r="C1616" s="25"/>
    </row>
    <row r="1617" spans="2:3" x14ac:dyDescent="0.3">
      <c r="B1617" s="25"/>
      <c r="C1617" s="25"/>
    </row>
    <row r="1618" spans="2:3" x14ac:dyDescent="0.3">
      <c r="B1618" s="25"/>
      <c r="C1618" s="25"/>
    </row>
    <row r="1619" spans="2:3" x14ac:dyDescent="0.3">
      <c r="B1619" s="25"/>
      <c r="C1619" s="25"/>
    </row>
    <row r="1620" spans="2:3" x14ac:dyDescent="0.3">
      <c r="B1620" s="25"/>
      <c r="C1620" s="25"/>
    </row>
    <row r="1621" spans="2:3" x14ac:dyDescent="0.3">
      <c r="B1621" s="25"/>
      <c r="C1621" s="25"/>
    </row>
    <row r="1622" spans="2:3" x14ac:dyDescent="0.3">
      <c r="B1622" s="25"/>
      <c r="C1622" s="25"/>
    </row>
    <row r="1623" spans="2:3" x14ac:dyDescent="0.3">
      <c r="B1623" s="25"/>
      <c r="C1623" s="25"/>
    </row>
    <row r="1624" spans="2:3" x14ac:dyDescent="0.3">
      <c r="B1624" s="25"/>
      <c r="C1624" s="25"/>
    </row>
    <row r="1625" spans="2:3" x14ac:dyDescent="0.3">
      <c r="B1625" s="25"/>
      <c r="C1625" s="25"/>
    </row>
    <row r="1626" spans="2:3" x14ac:dyDescent="0.3">
      <c r="B1626" s="25"/>
      <c r="C1626" s="25"/>
    </row>
    <row r="1627" spans="2:3" x14ac:dyDescent="0.3">
      <c r="B1627" s="25"/>
      <c r="C1627" s="25"/>
    </row>
    <row r="1628" spans="2:3" x14ac:dyDescent="0.3">
      <c r="B1628" s="25"/>
      <c r="C1628" s="25"/>
    </row>
    <row r="1629" spans="2:3" x14ac:dyDescent="0.3">
      <c r="B1629" s="25"/>
      <c r="C1629" s="25"/>
    </row>
    <row r="1630" spans="2:3" x14ac:dyDescent="0.3">
      <c r="B1630" s="25"/>
      <c r="C1630" s="25"/>
    </row>
    <row r="1631" spans="2:3" x14ac:dyDescent="0.3">
      <c r="B1631" s="25"/>
      <c r="C1631" s="25"/>
    </row>
    <row r="1632" spans="2:3" x14ac:dyDescent="0.3">
      <c r="B1632" s="25"/>
      <c r="C1632" s="25"/>
    </row>
    <row r="1633" spans="2:3" x14ac:dyDescent="0.3">
      <c r="B1633" s="25"/>
      <c r="C1633" s="25"/>
    </row>
    <row r="1634" spans="2:3" x14ac:dyDescent="0.3">
      <c r="B1634" s="25"/>
      <c r="C1634" s="25"/>
    </row>
    <row r="1635" spans="2:3" x14ac:dyDescent="0.3">
      <c r="B1635" s="25"/>
      <c r="C1635" s="25"/>
    </row>
    <row r="1636" spans="2:3" x14ac:dyDescent="0.3">
      <c r="B1636" s="25"/>
      <c r="C1636" s="25"/>
    </row>
    <row r="1637" spans="2:3" x14ac:dyDescent="0.3">
      <c r="B1637" s="25"/>
      <c r="C1637" s="25"/>
    </row>
    <row r="1638" spans="2:3" x14ac:dyDescent="0.3">
      <c r="B1638" s="25"/>
      <c r="C1638" s="25"/>
    </row>
    <row r="1639" spans="2:3" x14ac:dyDescent="0.3">
      <c r="B1639" s="25"/>
      <c r="C1639" s="25"/>
    </row>
    <row r="1640" spans="2:3" x14ac:dyDescent="0.3">
      <c r="B1640" s="25"/>
      <c r="C1640" s="25"/>
    </row>
    <row r="1641" spans="2:3" x14ac:dyDescent="0.3">
      <c r="B1641" s="25"/>
      <c r="C1641" s="25"/>
    </row>
    <row r="1642" spans="2:3" x14ac:dyDescent="0.3">
      <c r="B1642" s="25"/>
      <c r="C1642" s="25"/>
    </row>
    <row r="1643" spans="2:3" x14ac:dyDescent="0.3">
      <c r="B1643" s="25"/>
      <c r="C1643" s="25"/>
    </row>
    <row r="1644" spans="2:3" x14ac:dyDescent="0.3">
      <c r="B1644" s="25"/>
      <c r="C1644" s="25"/>
    </row>
    <row r="1645" spans="2:3" x14ac:dyDescent="0.3">
      <c r="B1645" s="25"/>
      <c r="C1645" s="25"/>
    </row>
    <row r="1646" spans="2:3" x14ac:dyDescent="0.3">
      <c r="B1646" s="25"/>
      <c r="C1646" s="25"/>
    </row>
    <row r="1647" spans="2:3" x14ac:dyDescent="0.3">
      <c r="B1647" s="25"/>
      <c r="C1647" s="25"/>
    </row>
    <row r="1648" spans="2:3" x14ac:dyDescent="0.3">
      <c r="B1648" s="25"/>
      <c r="C1648" s="25"/>
    </row>
    <row r="1649" spans="2:3" x14ac:dyDescent="0.3">
      <c r="B1649" s="25"/>
      <c r="C1649" s="25"/>
    </row>
    <row r="1650" spans="2:3" x14ac:dyDescent="0.3">
      <c r="B1650" s="25"/>
      <c r="C1650" s="25"/>
    </row>
    <row r="1651" spans="2:3" x14ac:dyDescent="0.3">
      <c r="B1651" s="25"/>
      <c r="C1651" s="25"/>
    </row>
    <row r="1652" spans="2:3" x14ac:dyDescent="0.3">
      <c r="B1652" s="25"/>
      <c r="C1652" s="25"/>
    </row>
    <row r="1653" spans="2:3" x14ac:dyDescent="0.3">
      <c r="B1653" s="25"/>
      <c r="C1653" s="25"/>
    </row>
    <row r="1654" spans="2:3" x14ac:dyDescent="0.3">
      <c r="B1654" s="25"/>
      <c r="C1654" s="25"/>
    </row>
    <row r="1655" spans="2:3" x14ac:dyDescent="0.3">
      <c r="B1655" s="25"/>
      <c r="C1655" s="25"/>
    </row>
    <row r="1656" spans="2:3" x14ac:dyDescent="0.3">
      <c r="B1656" s="25"/>
      <c r="C1656" s="25"/>
    </row>
    <row r="1657" spans="2:3" x14ac:dyDescent="0.3">
      <c r="B1657" s="25"/>
      <c r="C1657" s="25"/>
    </row>
    <row r="1658" spans="2:3" x14ac:dyDescent="0.3">
      <c r="B1658" s="25"/>
      <c r="C1658" s="25"/>
    </row>
    <row r="1659" spans="2:3" x14ac:dyDescent="0.3">
      <c r="B1659" s="25"/>
      <c r="C1659" s="25"/>
    </row>
    <row r="1660" spans="2:3" x14ac:dyDescent="0.3">
      <c r="B1660" s="25"/>
      <c r="C1660" s="25"/>
    </row>
    <row r="1661" spans="2:3" x14ac:dyDescent="0.3">
      <c r="B1661" s="25"/>
      <c r="C1661" s="25"/>
    </row>
    <row r="1662" spans="2:3" x14ac:dyDescent="0.3">
      <c r="B1662" s="25"/>
      <c r="C1662" s="25"/>
    </row>
    <row r="1663" spans="2:3" x14ac:dyDescent="0.3">
      <c r="B1663" s="25"/>
      <c r="C1663" s="25"/>
    </row>
    <row r="1664" spans="2:3" x14ac:dyDescent="0.3">
      <c r="B1664" s="25"/>
      <c r="C1664" s="25"/>
    </row>
    <row r="1665" spans="2:3" x14ac:dyDescent="0.3">
      <c r="B1665" s="25"/>
      <c r="C1665" s="25"/>
    </row>
    <row r="1666" spans="2:3" x14ac:dyDescent="0.3">
      <c r="B1666" s="25"/>
      <c r="C1666" s="25"/>
    </row>
    <row r="1667" spans="2:3" x14ac:dyDescent="0.3">
      <c r="B1667" s="25"/>
      <c r="C1667" s="25"/>
    </row>
    <row r="1668" spans="2:3" x14ac:dyDescent="0.3">
      <c r="B1668" s="25"/>
      <c r="C1668" s="25"/>
    </row>
    <row r="1669" spans="2:3" x14ac:dyDescent="0.3">
      <c r="B1669" s="25"/>
      <c r="C1669" s="25"/>
    </row>
    <row r="1670" spans="2:3" x14ac:dyDescent="0.3">
      <c r="B1670" s="25"/>
      <c r="C1670" s="25"/>
    </row>
    <row r="1671" spans="2:3" x14ac:dyDescent="0.3">
      <c r="B1671" s="25"/>
      <c r="C1671" s="25"/>
    </row>
    <row r="1672" spans="2:3" x14ac:dyDescent="0.3">
      <c r="B1672" s="25"/>
      <c r="C1672" s="25"/>
    </row>
    <row r="1673" spans="2:3" x14ac:dyDescent="0.3">
      <c r="B1673" s="25"/>
      <c r="C1673" s="25"/>
    </row>
    <row r="1674" spans="2:3" x14ac:dyDescent="0.3">
      <c r="B1674" s="25"/>
      <c r="C1674" s="25"/>
    </row>
    <row r="1675" spans="2:3" x14ac:dyDescent="0.3">
      <c r="B1675" s="25"/>
      <c r="C1675" s="25"/>
    </row>
    <row r="1676" spans="2:3" x14ac:dyDescent="0.3">
      <c r="B1676" s="25"/>
      <c r="C1676" s="25"/>
    </row>
    <row r="1677" spans="2:3" x14ac:dyDescent="0.3">
      <c r="B1677" s="25"/>
      <c r="C1677" s="25"/>
    </row>
    <row r="1678" spans="2:3" x14ac:dyDescent="0.3">
      <c r="B1678" s="25"/>
      <c r="C1678" s="25"/>
    </row>
    <row r="1679" spans="2:3" x14ac:dyDescent="0.3">
      <c r="B1679" s="25"/>
      <c r="C1679" s="25"/>
    </row>
    <row r="1680" spans="2:3" x14ac:dyDescent="0.3">
      <c r="B1680" s="25"/>
      <c r="C1680" s="25"/>
    </row>
    <row r="1681" spans="2:3" x14ac:dyDescent="0.3">
      <c r="B1681" s="25"/>
      <c r="C1681" s="25"/>
    </row>
    <row r="1682" spans="2:3" x14ac:dyDescent="0.3">
      <c r="B1682" s="25"/>
      <c r="C1682" s="25"/>
    </row>
    <row r="1683" spans="2:3" x14ac:dyDescent="0.3">
      <c r="B1683" s="25"/>
      <c r="C1683" s="25"/>
    </row>
    <row r="1684" spans="2:3" x14ac:dyDescent="0.3">
      <c r="B1684" s="25"/>
      <c r="C1684" s="25"/>
    </row>
    <row r="1685" spans="2:3" x14ac:dyDescent="0.3">
      <c r="B1685" s="25"/>
      <c r="C1685" s="25"/>
    </row>
    <row r="1686" spans="2:3" x14ac:dyDescent="0.3">
      <c r="B1686" s="25"/>
      <c r="C1686" s="25"/>
    </row>
    <row r="1687" spans="2:3" x14ac:dyDescent="0.3">
      <c r="B1687" s="25"/>
      <c r="C1687" s="25"/>
    </row>
    <row r="1688" spans="2:3" x14ac:dyDescent="0.3">
      <c r="B1688" s="25"/>
      <c r="C1688" s="25"/>
    </row>
    <row r="1689" spans="2:3" x14ac:dyDescent="0.3">
      <c r="B1689" s="25"/>
      <c r="C1689" s="25"/>
    </row>
    <row r="1690" spans="2:3" x14ac:dyDescent="0.3">
      <c r="B1690" s="25"/>
      <c r="C1690" s="25"/>
    </row>
    <row r="1691" spans="2:3" x14ac:dyDescent="0.3">
      <c r="B1691" s="25"/>
      <c r="C1691" s="25"/>
    </row>
    <row r="1692" spans="2:3" x14ac:dyDescent="0.3">
      <c r="B1692" s="25"/>
      <c r="C1692" s="25"/>
    </row>
    <row r="1693" spans="2:3" x14ac:dyDescent="0.3">
      <c r="B1693" s="25"/>
      <c r="C1693" s="25"/>
    </row>
    <row r="1694" spans="2:3" x14ac:dyDescent="0.3">
      <c r="B1694" s="25"/>
      <c r="C1694" s="25"/>
    </row>
    <row r="1695" spans="2:3" x14ac:dyDescent="0.3">
      <c r="B1695" s="25"/>
      <c r="C1695" s="25"/>
    </row>
    <row r="1696" spans="2:3" x14ac:dyDescent="0.3">
      <c r="B1696" s="25"/>
      <c r="C1696" s="25"/>
    </row>
    <row r="1697" spans="2:3" x14ac:dyDescent="0.3">
      <c r="B1697" s="25"/>
      <c r="C1697" s="25"/>
    </row>
    <row r="1698" spans="2:3" x14ac:dyDescent="0.3">
      <c r="B1698" s="25"/>
      <c r="C1698" s="25"/>
    </row>
    <row r="1699" spans="2:3" x14ac:dyDescent="0.3">
      <c r="B1699" s="25"/>
      <c r="C1699" s="25"/>
    </row>
    <row r="1700" spans="2:3" x14ac:dyDescent="0.3">
      <c r="B1700" s="25"/>
      <c r="C1700" s="25"/>
    </row>
    <row r="1701" spans="2:3" x14ac:dyDescent="0.3">
      <c r="B1701" s="25"/>
      <c r="C1701" s="25"/>
    </row>
    <row r="1702" spans="2:3" x14ac:dyDescent="0.3">
      <c r="B1702" s="25"/>
      <c r="C1702" s="25"/>
    </row>
    <row r="1703" spans="2:3" x14ac:dyDescent="0.3">
      <c r="B1703" s="25"/>
      <c r="C1703" s="25"/>
    </row>
    <row r="1704" spans="2:3" x14ac:dyDescent="0.3">
      <c r="B1704" s="25"/>
      <c r="C1704" s="25"/>
    </row>
    <row r="1705" spans="2:3" x14ac:dyDescent="0.3">
      <c r="B1705" s="25"/>
      <c r="C1705" s="25"/>
    </row>
    <row r="1706" spans="2:3" x14ac:dyDescent="0.3">
      <c r="B1706" s="25"/>
      <c r="C1706" s="25"/>
    </row>
    <row r="1707" spans="2:3" x14ac:dyDescent="0.3">
      <c r="B1707" s="25"/>
      <c r="C1707" s="25"/>
    </row>
    <row r="1708" spans="2:3" x14ac:dyDescent="0.3">
      <c r="B1708" s="25"/>
      <c r="C1708" s="25"/>
    </row>
    <row r="1709" spans="2:3" x14ac:dyDescent="0.3">
      <c r="B1709" s="25"/>
      <c r="C1709" s="25"/>
    </row>
    <row r="1710" spans="2:3" x14ac:dyDescent="0.3">
      <c r="B1710" s="25"/>
      <c r="C1710" s="25"/>
    </row>
    <row r="1711" spans="2:3" x14ac:dyDescent="0.3">
      <c r="B1711" s="25"/>
      <c r="C1711" s="25"/>
    </row>
    <row r="1712" spans="2:3" x14ac:dyDescent="0.3">
      <c r="B1712" s="25"/>
      <c r="C1712" s="25"/>
    </row>
    <row r="1713" spans="2:3" x14ac:dyDescent="0.3">
      <c r="B1713" s="25"/>
      <c r="C1713" s="25"/>
    </row>
    <row r="1714" spans="2:3" x14ac:dyDescent="0.3">
      <c r="B1714" s="25"/>
      <c r="C1714" s="25"/>
    </row>
    <row r="1715" spans="2:3" x14ac:dyDescent="0.3">
      <c r="B1715" s="25"/>
      <c r="C1715" s="25"/>
    </row>
    <row r="1716" spans="2:3" x14ac:dyDescent="0.3">
      <c r="B1716" s="25"/>
      <c r="C1716" s="25"/>
    </row>
    <row r="1717" spans="2:3" x14ac:dyDescent="0.3">
      <c r="B1717" s="25"/>
      <c r="C1717" s="25"/>
    </row>
    <row r="1718" spans="2:3" x14ac:dyDescent="0.3">
      <c r="B1718" s="25"/>
      <c r="C1718" s="25"/>
    </row>
    <row r="1719" spans="2:3" x14ac:dyDescent="0.3">
      <c r="B1719" s="25"/>
      <c r="C1719" s="25"/>
    </row>
    <row r="1720" spans="2:3" x14ac:dyDescent="0.3">
      <c r="B1720" s="25"/>
      <c r="C1720" s="25"/>
    </row>
    <row r="1721" spans="2:3" x14ac:dyDescent="0.3">
      <c r="B1721" s="25"/>
      <c r="C1721" s="25"/>
    </row>
    <row r="1722" spans="2:3" x14ac:dyDescent="0.3">
      <c r="B1722" s="25"/>
      <c r="C1722" s="25"/>
    </row>
    <row r="1723" spans="2:3" x14ac:dyDescent="0.3">
      <c r="B1723" s="25"/>
      <c r="C1723" s="25"/>
    </row>
    <row r="1724" spans="2:3" x14ac:dyDescent="0.3">
      <c r="B1724" s="25"/>
      <c r="C1724" s="25"/>
    </row>
    <row r="1725" spans="2:3" x14ac:dyDescent="0.3">
      <c r="B1725" s="25"/>
      <c r="C1725" s="25"/>
    </row>
    <row r="1726" spans="2:3" x14ac:dyDescent="0.3">
      <c r="B1726" s="25"/>
      <c r="C1726" s="25"/>
    </row>
    <row r="1727" spans="2:3" x14ac:dyDescent="0.3">
      <c r="B1727" s="25"/>
      <c r="C1727" s="25"/>
    </row>
    <row r="1728" spans="2:3" x14ac:dyDescent="0.3">
      <c r="B1728" s="25"/>
      <c r="C1728" s="25"/>
    </row>
    <row r="1729" spans="2:3" x14ac:dyDescent="0.3">
      <c r="B1729" s="25"/>
      <c r="C1729" s="25"/>
    </row>
    <row r="1730" spans="2:3" x14ac:dyDescent="0.3">
      <c r="B1730" s="25"/>
      <c r="C1730" s="25"/>
    </row>
    <row r="1731" spans="2:3" x14ac:dyDescent="0.3">
      <c r="B1731" s="25"/>
      <c r="C1731" s="25"/>
    </row>
    <row r="1732" spans="2:3" x14ac:dyDescent="0.3">
      <c r="B1732" s="25"/>
      <c r="C1732" s="25"/>
    </row>
    <row r="1733" spans="2:3" x14ac:dyDescent="0.3">
      <c r="B1733" s="25"/>
      <c r="C1733" s="25"/>
    </row>
    <row r="1734" spans="2:3" x14ac:dyDescent="0.3">
      <c r="B1734" s="25"/>
      <c r="C1734" s="25"/>
    </row>
    <row r="1735" spans="2:3" x14ac:dyDescent="0.3">
      <c r="B1735" s="25"/>
      <c r="C1735" s="25"/>
    </row>
    <row r="1736" spans="2:3" x14ac:dyDescent="0.3">
      <c r="B1736" s="25"/>
      <c r="C1736" s="25"/>
    </row>
    <row r="1737" spans="2:3" x14ac:dyDescent="0.3">
      <c r="B1737" s="25"/>
      <c r="C1737" s="25"/>
    </row>
    <row r="1738" spans="2:3" x14ac:dyDescent="0.3">
      <c r="B1738" s="25"/>
      <c r="C1738" s="25"/>
    </row>
    <row r="1739" spans="2:3" x14ac:dyDescent="0.3">
      <c r="B1739" s="25"/>
      <c r="C1739" s="25"/>
    </row>
    <row r="1740" spans="2:3" x14ac:dyDescent="0.3">
      <c r="B1740" s="25"/>
      <c r="C1740" s="25"/>
    </row>
    <row r="1741" spans="2:3" x14ac:dyDescent="0.3">
      <c r="B1741" s="25"/>
      <c r="C1741" s="25"/>
    </row>
    <row r="1742" spans="2:3" x14ac:dyDescent="0.3">
      <c r="B1742" s="25"/>
      <c r="C1742" s="25"/>
    </row>
    <row r="1743" spans="2:3" x14ac:dyDescent="0.3">
      <c r="B1743" s="25"/>
      <c r="C1743" s="25"/>
    </row>
    <row r="1744" spans="2:3" x14ac:dyDescent="0.3">
      <c r="B1744" s="25"/>
      <c r="C1744" s="25"/>
    </row>
    <row r="1745" spans="2:3" x14ac:dyDescent="0.3">
      <c r="B1745" s="25"/>
      <c r="C1745" s="25"/>
    </row>
    <row r="1746" spans="2:3" x14ac:dyDescent="0.3">
      <c r="B1746" s="25"/>
      <c r="C1746" s="25"/>
    </row>
    <row r="1747" spans="2:3" x14ac:dyDescent="0.3">
      <c r="B1747" s="25"/>
      <c r="C1747" s="25"/>
    </row>
    <row r="1748" spans="2:3" x14ac:dyDescent="0.3">
      <c r="B1748" s="25"/>
      <c r="C1748" s="25"/>
    </row>
    <row r="1749" spans="2:3" x14ac:dyDescent="0.3">
      <c r="B1749" s="25"/>
      <c r="C1749" s="25"/>
    </row>
    <row r="1750" spans="2:3" x14ac:dyDescent="0.3">
      <c r="B1750" s="25"/>
      <c r="C1750" s="25"/>
    </row>
    <row r="1751" spans="2:3" x14ac:dyDescent="0.3">
      <c r="B1751" s="25"/>
      <c r="C1751" s="25"/>
    </row>
    <row r="1752" spans="2:3" x14ac:dyDescent="0.3">
      <c r="B1752" s="25"/>
      <c r="C1752" s="25"/>
    </row>
    <row r="1753" spans="2:3" x14ac:dyDescent="0.3">
      <c r="B1753" s="25"/>
      <c r="C1753" s="25"/>
    </row>
    <row r="1754" spans="2:3" x14ac:dyDescent="0.3">
      <c r="B1754" s="25"/>
      <c r="C1754" s="25"/>
    </row>
    <row r="1755" spans="2:3" x14ac:dyDescent="0.3">
      <c r="B1755" s="25"/>
      <c r="C1755" s="25"/>
    </row>
    <row r="1756" spans="2:3" x14ac:dyDescent="0.3">
      <c r="B1756" s="25"/>
      <c r="C1756" s="25"/>
    </row>
    <row r="1757" spans="2:3" x14ac:dyDescent="0.3">
      <c r="B1757" s="25"/>
      <c r="C1757" s="25"/>
    </row>
    <row r="1758" spans="2:3" x14ac:dyDescent="0.3">
      <c r="B1758" s="25"/>
      <c r="C1758" s="25"/>
    </row>
    <row r="1759" spans="2:3" x14ac:dyDescent="0.3">
      <c r="B1759" s="25"/>
      <c r="C1759" s="25"/>
    </row>
    <row r="1760" spans="2:3" x14ac:dyDescent="0.3">
      <c r="B1760" s="25"/>
      <c r="C1760" s="25"/>
    </row>
    <row r="1761" spans="2:3" x14ac:dyDescent="0.3">
      <c r="B1761" s="25"/>
      <c r="C1761" s="25"/>
    </row>
    <row r="1762" spans="2:3" x14ac:dyDescent="0.3">
      <c r="B1762" s="25"/>
      <c r="C1762" s="25"/>
    </row>
    <row r="1763" spans="2:3" x14ac:dyDescent="0.3">
      <c r="B1763" s="25"/>
      <c r="C1763" s="25"/>
    </row>
    <row r="1764" spans="2:3" x14ac:dyDescent="0.3">
      <c r="B1764" s="25"/>
      <c r="C1764" s="25"/>
    </row>
    <row r="1765" spans="2:3" x14ac:dyDescent="0.3">
      <c r="B1765" s="25"/>
      <c r="C1765" s="25"/>
    </row>
    <row r="1766" spans="2:3" x14ac:dyDescent="0.3">
      <c r="B1766" s="25"/>
      <c r="C1766" s="25"/>
    </row>
    <row r="1767" spans="2:3" x14ac:dyDescent="0.3">
      <c r="B1767" s="25"/>
      <c r="C1767" s="25"/>
    </row>
    <row r="1768" spans="2:3" x14ac:dyDescent="0.3">
      <c r="B1768" s="25"/>
      <c r="C1768" s="25"/>
    </row>
    <row r="1769" spans="2:3" x14ac:dyDescent="0.3">
      <c r="B1769" s="25"/>
      <c r="C1769" s="25"/>
    </row>
    <row r="1770" spans="2:3" x14ac:dyDescent="0.3">
      <c r="B1770" s="25"/>
      <c r="C1770" s="25"/>
    </row>
    <row r="1771" spans="2:3" x14ac:dyDescent="0.3">
      <c r="B1771" s="25"/>
      <c r="C1771" s="25"/>
    </row>
    <row r="1772" spans="2:3" x14ac:dyDescent="0.3">
      <c r="B1772" s="25"/>
      <c r="C1772" s="25"/>
    </row>
    <row r="1773" spans="2:3" x14ac:dyDescent="0.3">
      <c r="B1773" s="25"/>
      <c r="C1773" s="25"/>
    </row>
    <row r="1774" spans="2:3" x14ac:dyDescent="0.3">
      <c r="B1774" s="25"/>
      <c r="C1774" s="25"/>
    </row>
    <row r="1775" spans="2:3" x14ac:dyDescent="0.3">
      <c r="B1775" s="25"/>
      <c r="C1775" s="25"/>
    </row>
    <row r="1776" spans="2:3" x14ac:dyDescent="0.3">
      <c r="B1776" s="25"/>
      <c r="C1776" s="25"/>
    </row>
    <row r="1777" spans="2:3" x14ac:dyDescent="0.3">
      <c r="B1777" s="25"/>
      <c r="C1777" s="25"/>
    </row>
    <row r="1778" spans="2:3" x14ac:dyDescent="0.3">
      <c r="B1778" s="25"/>
      <c r="C1778" s="25"/>
    </row>
    <row r="1779" spans="2:3" x14ac:dyDescent="0.3">
      <c r="B1779" s="25"/>
      <c r="C1779" s="25"/>
    </row>
    <row r="1780" spans="2:3" x14ac:dyDescent="0.3">
      <c r="B1780" s="25"/>
      <c r="C1780" s="25"/>
    </row>
    <row r="1781" spans="2:3" x14ac:dyDescent="0.3">
      <c r="B1781" s="25"/>
      <c r="C1781" s="25"/>
    </row>
    <row r="1782" spans="2:3" x14ac:dyDescent="0.3">
      <c r="B1782" s="25"/>
      <c r="C1782" s="25"/>
    </row>
    <row r="1783" spans="2:3" x14ac:dyDescent="0.3">
      <c r="B1783" s="25"/>
      <c r="C1783" s="25"/>
    </row>
    <row r="1784" spans="2:3" x14ac:dyDescent="0.3">
      <c r="B1784" s="25"/>
      <c r="C1784" s="25"/>
    </row>
    <row r="1785" spans="2:3" x14ac:dyDescent="0.3">
      <c r="B1785" s="25"/>
      <c r="C1785" s="25"/>
    </row>
    <row r="1786" spans="2:3" x14ac:dyDescent="0.3">
      <c r="B1786" s="25"/>
      <c r="C1786" s="25"/>
    </row>
    <row r="1787" spans="2:3" x14ac:dyDescent="0.3">
      <c r="B1787" s="25"/>
      <c r="C1787" s="25"/>
    </row>
    <row r="1788" spans="2:3" x14ac:dyDescent="0.3">
      <c r="B1788" s="25"/>
      <c r="C1788" s="25"/>
    </row>
    <row r="1789" spans="2:3" x14ac:dyDescent="0.3">
      <c r="B1789" s="25"/>
      <c r="C1789" s="25"/>
    </row>
    <row r="1790" spans="2:3" x14ac:dyDescent="0.3">
      <c r="B1790" s="25"/>
      <c r="C1790" s="25"/>
    </row>
    <row r="1791" spans="2:3" x14ac:dyDescent="0.3">
      <c r="B1791" s="25"/>
      <c r="C1791" s="25"/>
    </row>
    <row r="1792" spans="2:3" x14ac:dyDescent="0.3">
      <c r="B1792" s="25"/>
      <c r="C1792" s="25"/>
    </row>
    <row r="1793" spans="2:3" x14ac:dyDescent="0.3">
      <c r="B1793" s="25"/>
      <c r="C1793" s="25"/>
    </row>
    <row r="1794" spans="2:3" x14ac:dyDescent="0.3">
      <c r="B1794" s="25"/>
      <c r="C1794" s="25"/>
    </row>
    <row r="1795" spans="2:3" x14ac:dyDescent="0.3">
      <c r="B1795" s="25"/>
      <c r="C1795" s="25"/>
    </row>
    <row r="1796" spans="2:3" x14ac:dyDescent="0.3">
      <c r="B1796" s="25"/>
      <c r="C1796" s="25"/>
    </row>
    <row r="1797" spans="2:3" x14ac:dyDescent="0.3">
      <c r="B1797" s="25"/>
      <c r="C1797" s="25"/>
    </row>
    <row r="1798" spans="2:3" x14ac:dyDescent="0.3">
      <c r="B1798" s="25"/>
      <c r="C1798" s="25"/>
    </row>
    <row r="1799" spans="2:3" x14ac:dyDescent="0.3">
      <c r="B1799" s="25"/>
      <c r="C1799" s="25"/>
    </row>
    <row r="1800" spans="2:3" x14ac:dyDescent="0.3">
      <c r="B1800" s="25"/>
      <c r="C1800" s="25"/>
    </row>
    <row r="1801" spans="2:3" x14ac:dyDescent="0.3">
      <c r="B1801" s="25"/>
      <c r="C1801" s="25"/>
    </row>
    <row r="1802" spans="2:3" x14ac:dyDescent="0.3">
      <c r="B1802" s="25"/>
      <c r="C1802" s="25"/>
    </row>
    <row r="1803" spans="2:3" x14ac:dyDescent="0.3">
      <c r="B1803" s="25"/>
      <c r="C1803" s="25"/>
    </row>
    <row r="1804" spans="2:3" x14ac:dyDescent="0.3">
      <c r="B1804" s="25"/>
      <c r="C1804" s="25"/>
    </row>
    <row r="1805" spans="2:3" x14ac:dyDescent="0.3">
      <c r="B1805" s="25"/>
      <c r="C1805" s="25"/>
    </row>
    <row r="1806" spans="2:3" x14ac:dyDescent="0.3">
      <c r="B1806" s="25"/>
      <c r="C1806" s="25"/>
    </row>
    <row r="1807" spans="2:3" x14ac:dyDescent="0.3">
      <c r="B1807" s="25"/>
      <c r="C1807" s="25"/>
    </row>
    <row r="1808" spans="2:3" x14ac:dyDescent="0.3">
      <c r="B1808" s="25"/>
      <c r="C1808" s="25"/>
    </row>
    <row r="1809" spans="2:3" x14ac:dyDescent="0.3">
      <c r="B1809" s="25"/>
      <c r="C1809" s="25"/>
    </row>
    <row r="1810" spans="2:3" x14ac:dyDescent="0.3">
      <c r="B1810" s="25"/>
      <c r="C1810" s="25"/>
    </row>
    <row r="1811" spans="2:3" x14ac:dyDescent="0.3">
      <c r="B1811" s="25"/>
      <c r="C1811" s="25"/>
    </row>
    <row r="1812" spans="2:3" x14ac:dyDescent="0.3">
      <c r="B1812" s="25"/>
      <c r="C1812" s="25"/>
    </row>
    <row r="1813" spans="2:3" x14ac:dyDescent="0.3">
      <c r="B1813" s="25"/>
      <c r="C1813" s="25"/>
    </row>
    <row r="1814" spans="2:3" x14ac:dyDescent="0.3">
      <c r="B1814" s="25"/>
      <c r="C1814" s="25"/>
    </row>
    <row r="1815" spans="2:3" x14ac:dyDescent="0.3">
      <c r="B1815" s="25"/>
      <c r="C1815" s="25"/>
    </row>
    <row r="1816" spans="2:3" x14ac:dyDescent="0.3">
      <c r="B1816" s="25"/>
      <c r="C1816" s="25"/>
    </row>
    <row r="1817" spans="2:3" x14ac:dyDescent="0.3">
      <c r="B1817" s="25"/>
      <c r="C1817" s="25"/>
    </row>
    <row r="1818" spans="2:3" x14ac:dyDescent="0.3">
      <c r="B1818" s="25"/>
      <c r="C1818" s="25"/>
    </row>
    <row r="1819" spans="2:3" x14ac:dyDescent="0.3">
      <c r="B1819" s="25"/>
      <c r="C1819" s="25"/>
    </row>
    <row r="1820" spans="2:3" x14ac:dyDescent="0.3">
      <c r="B1820" s="25"/>
      <c r="C1820" s="25"/>
    </row>
    <row r="1821" spans="2:3" x14ac:dyDescent="0.3">
      <c r="B1821" s="25"/>
      <c r="C1821" s="25"/>
    </row>
    <row r="1822" spans="2:3" x14ac:dyDescent="0.3">
      <c r="B1822" s="25"/>
      <c r="C1822" s="25"/>
    </row>
    <row r="1823" spans="2:3" x14ac:dyDescent="0.3">
      <c r="B1823" s="25"/>
      <c r="C1823" s="25"/>
    </row>
    <row r="1824" spans="2:3" x14ac:dyDescent="0.3">
      <c r="B1824" s="25"/>
      <c r="C1824" s="25"/>
    </row>
    <row r="1825" spans="2:3" x14ac:dyDescent="0.3">
      <c r="B1825" s="25"/>
      <c r="C1825" s="25"/>
    </row>
    <row r="1826" spans="2:3" x14ac:dyDescent="0.3">
      <c r="B1826" s="25"/>
      <c r="C1826" s="25"/>
    </row>
    <row r="1827" spans="2:3" x14ac:dyDescent="0.3">
      <c r="B1827" s="25"/>
      <c r="C1827" s="25"/>
    </row>
    <row r="1828" spans="2:3" x14ac:dyDescent="0.3">
      <c r="B1828" s="25"/>
      <c r="C1828" s="25"/>
    </row>
    <row r="1829" spans="2:3" x14ac:dyDescent="0.3">
      <c r="B1829" s="25"/>
      <c r="C1829" s="25"/>
    </row>
    <row r="1830" spans="2:3" x14ac:dyDescent="0.3">
      <c r="B1830" s="25"/>
      <c r="C1830" s="25"/>
    </row>
    <row r="1831" spans="2:3" x14ac:dyDescent="0.3">
      <c r="B1831" s="25"/>
      <c r="C1831" s="25"/>
    </row>
    <row r="1832" spans="2:3" x14ac:dyDescent="0.3">
      <c r="B1832" s="25"/>
      <c r="C1832" s="25"/>
    </row>
    <row r="1833" spans="2:3" x14ac:dyDescent="0.3">
      <c r="B1833" s="25"/>
      <c r="C1833" s="25"/>
    </row>
    <row r="1834" spans="2:3" x14ac:dyDescent="0.3">
      <c r="B1834" s="25"/>
      <c r="C1834" s="25"/>
    </row>
    <row r="1835" spans="2:3" x14ac:dyDescent="0.3">
      <c r="B1835" s="25"/>
      <c r="C1835" s="25"/>
    </row>
    <row r="1836" spans="2:3" x14ac:dyDescent="0.3">
      <c r="B1836" s="25"/>
      <c r="C1836" s="25"/>
    </row>
    <row r="1837" spans="2:3" x14ac:dyDescent="0.3">
      <c r="B1837" s="25"/>
      <c r="C1837" s="25"/>
    </row>
    <row r="1838" spans="2:3" x14ac:dyDescent="0.3">
      <c r="B1838" s="25"/>
      <c r="C1838" s="25"/>
    </row>
    <row r="1839" spans="2:3" x14ac:dyDescent="0.3">
      <c r="B1839" s="25"/>
      <c r="C1839" s="25"/>
    </row>
    <row r="1840" spans="2:3" x14ac:dyDescent="0.3">
      <c r="B1840" s="25"/>
      <c r="C1840" s="25"/>
    </row>
    <row r="1841" spans="2:3" x14ac:dyDescent="0.3">
      <c r="B1841" s="25"/>
      <c r="C1841" s="25"/>
    </row>
    <row r="1842" spans="2:3" x14ac:dyDescent="0.3">
      <c r="B1842" s="25"/>
      <c r="C1842" s="25"/>
    </row>
    <row r="1843" spans="2:3" x14ac:dyDescent="0.3">
      <c r="B1843" s="25"/>
      <c r="C1843" s="25"/>
    </row>
    <row r="1844" spans="2:3" x14ac:dyDescent="0.3">
      <c r="B1844" s="25"/>
      <c r="C1844" s="25"/>
    </row>
    <row r="1845" spans="2:3" x14ac:dyDescent="0.3">
      <c r="B1845" s="25"/>
      <c r="C1845" s="25"/>
    </row>
    <row r="1846" spans="2:3" x14ac:dyDescent="0.3">
      <c r="B1846" s="25"/>
      <c r="C1846" s="25"/>
    </row>
    <row r="1847" spans="2:3" x14ac:dyDescent="0.3">
      <c r="B1847" s="25"/>
      <c r="C1847" s="25"/>
    </row>
    <row r="1848" spans="2:3" x14ac:dyDescent="0.3">
      <c r="B1848" s="25"/>
      <c r="C1848" s="25"/>
    </row>
    <row r="1849" spans="2:3" x14ac:dyDescent="0.3">
      <c r="B1849" s="25"/>
      <c r="C1849" s="25"/>
    </row>
    <row r="1850" spans="2:3" x14ac:dyDescent="0.3">
      <c r="B1850" s="25"/>
      <c r="C1850" s="25"/>
    </row>
    <row r="1851" spans="2:3" x14ac:dyDescent="0.3">
      <c r="B1851" s="25"/>
      <c r="C1851" s="25"/>
    </row>
    <row r="1852" spans="2:3" x14ac:dyDescent="0.3">
      <c r="B1852" s="25"/>
      <c r="C1852" s="25"/>
    </row>
    <row r="1853" spans="2:3" x14ac:dyDescent="0.3">
      <c r="B1853" s="25"/>
      <c r="C1853" s="25"/>
    </row>
    <row r="1854" spans="2:3" x14ac:dyDescent="0.3">
      <c r="B1854" s="25"/>
      <c r="C1854" s="25"/>
    </row>
    <row r="1855" spans="2:3" x14ac:dyDescent="0.3">
      <c r="B1855" s="25"/>
      <c r="C1855" s="25"/>
    </row>
    <row r="1856" spans="2:3" x14ac:dyDescent="0.3">
      <c r="B1856" s="25"/>
      <c r="C1856" s="25"/>
    </row>
    <row r="1857" spans="2:3" x14ac:dyDescent="0.3">
      <c r="B1857" s="25"/>
      <c r="C1857" s="25"/>
    </row>
    <row r="1858" spans="2:3" x14ac:dyDescent="0.3">
      <c r="B1858" s="25"/>
      <c r="C1858" s="25"/>
    </row>
    <row r="1859" spans="2:3" x14ac:dyDescent="0.3">
      <c r="B1859" s="25"/>
      <c r="C1859" s="25"/>
    </row>
    <row r="1860" spans="2:3" x14ac:dyDescent="0.3">
      <c r="B1860" s="25"/>
      <c r="C1860" s="25"/>
    </row>
    <row r="1861" spans="2:3" x14ac:dyDescent="0.3">
      <c r="B1861" s="25"/>
      <c r="C1861" s="25"/>
    </row>
    <row r="1862" spans="2:3" x14ac:dyDescent="0.3">
      <c r="B1862" s="25"/>
      <c r="C1862" s="25"/>
    </row>
    <row r="1863" spans="2:3" x14ac:dyDescent="0.3">
      <c r="B1863" s="25"/>
      <c r="C1863" s="25"/>
    </row>
    <row r="1864" spans="2:3" x14ac:dyDescent="0.3">
      <c r="B1864" s="25"/>
      <c r="C1864" s="25"/>
    </row>
    <row r="1865" spans="2:3" x14ac:dyDescent="0.3">
      <c r="B1865" s="25"/>
      <c r="C1865" s="25"/>
    </row>
    <row r="1866" spans="2:3" x14ac:dyDescent="0.3">
      <c r="B1866" s="25"/>
      <c r="C1866" s="25"/>
    </row>
    <row r="1867" spans="2:3" x14ac:dyDescent="0.3">
      <c r="B1867" s="25"/>
      <c r="C1867" s="25"/>
    </row>
    <row r="1868" spans="2:3" x14ac:dyDescent="0.3">
      <c r="B1868" s="25"/>
      <c r="C1868" s="25"/>
    </row>
    <row r="1869" spans="2:3" x14ac:dyDescent="0.3">
      <c r="B1869" s="25"/>
      <c r="C1869" s="25"/>
    </row>
    <row r="1870" spans="2:3" x14ac:dyDescent="0.3">
      <c r="B1870" s="25"/>
      <c r="C1870" s="25"/>
    </row>
    <row r="1871" spans="2:3" x14ac:dyDescent="0.3">
      <c r="B1871" s="25"/>
      <c r="C1871" s="25"/>
    </row>
    <row r="1872" spans="2:3" x14ac:dyDescent="0.3">
      <c r="B1872" s="25"/>
      <c r="C1872" s="25"/>
    </row>
    <row r="1873" spans="2:3" x14ac:dyDescent="0.3">
      <c r="B1873" s="25"/>
      <c r="C1873" s="25"/>
    </row>
    <row r="1874" spans="2:3" x14ac:dyDescent="0.3">
      <c r="B1874" s="25"/>
      <c r="C1874" s="25"/>
    </row>
    <row r="1875" spans="2:3" x14ac:dyDescent="0.3">
      <c r="B1875" s="25"/>
      <c r="C1875" s="25"/>
    </row>
    <row r="1876" spans="2:3" x14ac:dyDescent="0.3">
      <c r="B1876" s="25"/>
      <c r="C1876" s="25"/>
    </row>
    <row r="1877" spans="2:3" x14ac:dyDescent="0.3">
      <c r="B1877" s="25"/>
      <c r="C1877" s="25"/>
    </row>
    <row r="1878" spans="2:3" x14ac:dyDescent="0.3">
      <c r="B1878" s="25"/>
      <c r="C1878" s="25"/>
    </row>
    <row r="1879" spans="2:3" x14ac:dyDescent="0.3">
      <c r="B1879" s="25"/>
      <c r="C1879" s="25"/>
    </row>
    <row r="1880" spans="2:3" x14ac:dyDescent="0.3">
      <c r="B1880" s="25"/>
      <c r="C1880" s="25"/>
    </row>
    <row r="1881" spans="2:3" x14ac:dyDescent="0.3">
      <c r="B1881" s="25"/>
      <c r="C1881" s="25"/>
    </row>
    <row r="1882" spans="2:3" x14ac:dyDescent="0.3">
      <c r="B1882" s="25"/>
      <c r="C1882" s="25"/>
    </row>
    <row r="1883" spans="2:3" x14ac:dyDescent="0.3">
      <c r="B1883" s="25"/>
      <c r="C1883" s="25"/>
    </row>
    <row r="1884" spans="2:3" x14ac:dyDescent="0.3">
      <c r="B1884" s="25"/>
      <c r="C1884" s="25"/>
    </row>
    <row r="1885" spans="2:3" x14ac:dyDescent="0.3">
      <c r="B1885" s="25"/>
      <c r="C1885" s="25"/>
    </row>
    <row r="1886" spans="2:3" x14ac:dyDescent="0.3">
      <c r="B1886" s="25"/>
      <c r="C1886" s="25"/>
    </row>
    <row r="1887" spans="2:3" x14ac:dyDescent="0.3">
      <c r="B1887" s="25"/>
      <c r="C1887" s="25"/>
    </row>
    <row r="1888" spans="2:3" x14ac:dyDescent="0.3">
      <c r="B1888" s="25"/>
      <c r="C1888" s="25"/>
    </row>
    <row r="1889" spans="2:3" x14ac:dyDescent="0.3">
      <c r="B1889" s="25"/>
      <c r="C1889" s="25"/>
    </row>
    <row r="1890" spans="2:3" x14ac:dyDescent="0.3">
      <c r="B1890" s="25"/>
      <c r="C1890" s="25"/>
    </row>
    <row r="1891" spans="2:3" x14ac:dyDescent="0.3">
      <c r="B1891" s="25"/>
      <c r="C1891" s="25"/>
    </row>
    <row r="1892" spans="2:3" x14ac:dyDescent="0.3">
      <c r="B1892" s="25"/>
      <c r="C1892" s="25"/>
    </row>
    <row r="1893" spans="2:3" x14ac:dyDescent="0.3">
      <c r="B1893" s="25"/>
      <c r="C1893" s="25"/>
    </row>
    <row r="1894" spans="2:3" x14ac:dyDescent="0.3">
      <c r="B1894" s="25"/>
      <c r="C1894" s="25"/>
    </row>
    <row r="1895" spans="2:3" x14ac:dyDescent="0.3">
      <c r="B1895" s="25"/>
      <c r="C1895" s="25"/>
    </row>
    <row r="1896" spans="2:3" x14ac:dyDescent="0.3">
      <c r="B1896" s="25"/>
      <c r="C1896" s="25"/>
    </row>
    <row r="1897" spans="2:3" x14ac:dyDescent="0.3">
      <c r="B1897" s="25"/>
      <c r="C1897" s="25"/>
    </row>
    <row r="1898" spans="2:3" x14ac:dyDescent="0.3">
      <c r="B1898" s="25"/>
      <c r="C1898" s="25"/>
    </row>
    <row r="1899" spans="2:3" x14ac:dyDescent="0.3">
      <c r="B1899" s="25"/>
      <c r="C1899" s="25"/>
    </row>
    <row r="1900" spans="2:3" x14ac:dyDescent="0.3">
      <c r="B1900" s="25"/>
      <c r="C1900" s="25"/>
    </row>
    <row r="1901" spans="2:3" x14ac:dyDescent="0.3">
      <c r="B1901" s="25"/>
      <c r="C1901" s="25"/>
    </row>
    <row r="1902" spans="2:3" x14ac:dyDescent="0.3">
      <c r="B1902" s="25"/>
      <c r="C1902" s="25"/>
    </row>
    <row r="1903" spans="2:3" x14ac:dyDescent="0.3">
      <c r="B1903" s="25"/>
      <c r="C1903" s="25"/>
    </row>
    <row r="1904" spans="2:3" x14ac:dyDescent="0.3">
      <c r="B1904" s="25"/>
      <c r="C1904" s="25"/>
    </row>
    <row r="1905" spans="2:3" x14ac:dyDescent="0.3">
      <c r="B1905" s="25"/>
      <c r="C1905" s="25"/>
    </row>
    <row r="1906" spans="2:3" x14ac:dyDescent="0.3">
      <c r="B1906" s="25"/>
      <c r="C1906" s="25"/>
    </row>
    <row r="1907" spans="2:3" x14ac:dyDescent="0.3">
      <c r="B1907" s="25"/>
      <c r="C1907" s="25"/>
    </row>
    <row r="1908" spans="2:3" x14ac:dyDescent="0.3">
      <c r="B1908" s="25"/>
      <c r="C1908" s="25"/>
    </row>
    <row r="1909" spans="2:3" x14ac:dyDescent="0.3">
      <c r="B1909" s="25"/>
      <c r="C1909" s="25"/>
    </row>
    <row r="1910" spans="2:3" x14ac:dyDescent="0.3">
      <c r="B1910" s="25"/>
      <c r="C1910" s="25"/>
    </row>
    <row r="1911" spans="2:3" x14ac:dyDescent="0.3">
      <c r="B1911" s="25"/>
      <c r="C1911" s="25"/>
    </row>
    <row r="1912" spans="2:3" x14ac:dyDescent="0.3">
      <c r="B1912" s="25"/>
      <c r="C1912" s="25"/>
    </row>
    <row r="1913" spans="2:3" x14ac:dyDescent="0.3">
      <c r="B1913" s="25"/>
      <c r="C1913" s="25"/>
    </row>
    <row r="1914" spans="2:3" x14ac:dyDescent="0.3">
      <c r="B1914" s="25"/>
      <c r="C1914" s="25"/>
    </row>
    <row r="1915" spans="2:3" x14ac:dyDescent="0.3">
      <c r="B1915" s="25"/>
      <c r="C1915" s="25"/>
    </row>
    <row r="1916" spans="2:3" x14ac:dyDescent="0.3">
      <c r="B1916" s="25"/>
      <c r="C1916" s="25"/>
    </row>
    <row r="1917" spans="2:3" x14ac:dyDescent="0.3">
      <c r="B1917" s="25"/>
      <c r="C1917" s="25"/>
    </row>
    <row r="1918" spans="2:3" x14ac:dyDescent="0.3">
      <c r="B1918" s="25"/>
      <c r="C1918" s="25"/>
    </row>
    <row r="1919" spans="2:3" x14ac:dyDescent="0.3">
      <c r="B1919" s="25"/>
      <c r="C1919" s="25"/>
    </row>
    <row r="1920" spans="2:3" x14ac:dyDescent="0.3">
      <c r="B1920" s="25"/>
      <c r="C1920" s="25"/>
    </row>
    <row r="1921" spans="2:3" x14ac:dyDescent="0.3">
      <c r="B1921" s="25"/>
      <c r="C1921" s="25"/>
    </row>
    <row r="1922" spans="2:3" x14ac:dyDescent="0.3">
      <c r="B1922" s="25"/>
      <c r="C1922" s="25"/>
    </row>
    <row r="1923" spans="2:3" x14ac:dyDescent="0.3">
      <c r="B1923" s="25"/>
      <c r="C1923" s="25"/>
    </row>
    <row r="1924" spans="2:3" x14ac:dyDescent="0.3">
      <c r="B1924" s="25"/>
      <c r="C1924" s="25"/>
    </row>
    <row r="1925" spans="2:3" x14ac:dyDescent="0.3">
      <c r="B1925" s="25"/>
      <c r="C1925" s="25"/>
    </row>
    <row r="1926" spans="2:3" x14ac:dyDescent="0.3">
      <c r="B1926" s="25"/>
      <c r="C1926" s="25"/>
    </row>
    <row r="1927" spans="2:3" x14ac:dyDescent="0.3">
      <c r="B1927" s="25"/>
      <c r="C1927" s="25"/>
    </row>
    <row r="1928" spans="2:3" x14ac:dyDescent="0.3">
      <c r="B1928" s="25"/>
      <c r="C1928" s="25"/>
    </row>
    <row r="1929" spans="2:3" x14ac:dyDescent="0.3">
      <c r="B1929" s="25"/>
      <c r="C1929" s="25"/>
    </row>
    <row r="1930" spans="2:3" x14ac:dyDescent="0.3">
      <c r="B1930" s="25"/>
      <c r="C1930" s="25"/>
    </row>
    <row r="1931" spans="2:3" x14ac:dyDescent="0.3">
      <c r="B1931" s="25"/>
      <c r="C1931" s="25"/>
    </row>
    <row r="1932" spans="2:3" x14ac:dyDescent="0.3">
      <c r="B1932" s="25"/>
      <c r="C1932" s="25"/>
    </row>
    <row r="1933" spans="2:3" x14ac:dyDescent="0.3">
      <c r="B1933" s="25"/>
      <c r="C1933" s="25"/>
    </row>
    <row r="1934" spans="2:3" x14ac:dyDescent="0.3">
      <c r="B1934" s="25"/>
      <c r="C1934" s="25"/>
    </row>
    <row r="1935" spans="2:3" x14ac:dyDescent="0.3">
      <c r="B1935" s="25"/>
      <c r="C1935" s="25"/>
    </row>
    <row r="1936" spans="2:3" x14ac:dyDescent="0.3">
      <c r="B1936" s="25"/>
      <c r="C1936" s="25"/>
    </row>
    <row r="1937" spans="2:3" x14ac:dyDescent="0.3">
      <c r="B1937" s="25"/>
      <c r="C1937" s="25"/>
    </row>
    <row r="1938" spans="2:3" x14ac:dyDescent="0.3">
      <c r="B1938" s="25"/>
      <c r="C1938" s="25"/>
    </row>
    <row r="1939" spans="2:3" x14ac:dyDescent="0.3">
      <c r="B1939" s="25"/>
      <c r="C1939" s="25"/>
    </row>
    <row r="1940" spans="2:3" x14ac:dyDescent="0.3">
      <c r="B1940" s="25"/>
      <c r="C1940" s="25"/>
    </row>
    <row r="1941" spans="2:3" x14ac:dyDescent="0.3">
      <c r="B1941" s="25"/>
      <c r="C1941" s="25"/>
    </row>
    <row r="1942" spans="2:3" x14ac:dyDescent="0.3">
      <c r="B1942" s="25"/>
      <c r="C1942" s="25"/>
    </row>
    <row r="1943" spans="2:3" x14ac:dyDescent="0.3">
      <c r="B1943" s="25"/>
      <c r="C1943" s="25"/>
    </row>
    <row r="1944" spans="2:3" x14ac:dyDescent="0.3">
      <c r="B1944" s="25"/>
      <c r="C1944" s="25"/>
    </row>
    <row r="1945" spans="2:3" x14ac:dyDescent="0.3">
      <c r="B1945" s="25"/>
      <c r="C1945" s="25"/>
    </row>
    <row r="1946" spans="2:3" x14ac:dyDescent="0.3">
      <c r="B1946" s="25"/>
      <c r="C1946" s="25"/>
    </row>
    <row r="1947" spans="2:3" x14ac:dyDescent="0.3">
      <c r="B1947" s="25"/>
      <c r="C1947" s="25"/>
    </row>
    <row r="1948" spans="2:3" x14ac:dyDescent="0.3">
      <c r="B1948" s="25"/>
      <c r="C1948" s="25"/>
    </row>
    <row r="1949" spans="2:3" x14ac:dyDescent="0.3">
      <c r="B1949" s="25"/>
      <c r="C1949" s="25"/>
    </row>
    <row r="1950" spans="2:3" x14ac:dyDescent="0.3">
      <c r="B1950" s="25"/>
      <c r="C1950" s="25"/>
    </row>
    <row r="1951" spans="2:3" x14ac:dyDescent="0.3">
      <c r="B1951" s="25"/>
      <c r="C1951" s="25"/>
    </row>
    <row r="1952" spans="2:3" x14ac:dyDescent="0.3">
      <c r="B1952" s="25"/>
      <c r="C1952" s="25"/>
    </row>
    <row r="1953" spans="2:3" x14ac:dyDescent="0.3">
      <c r="B1953" s="25"/>
      <c r="C1953" s="25"/>
    </row>
    <row r="1954" spans="2:3" x14ac:dyDescent="0.3">
      <c r="B1954" s="25"/>
      <c r="C1954" s="25"/>
    </row>
    <row r="1955" spans="2:3" x14ac:dyDescent="0.3">
      <c r="B1955" s="25"/>
      <c r="C1955" s="25"/>
    </row>
    <row r="1956" spans="2:3" x14ac:dyDescent="0.3">
      <c r="B1956" s="25"/>
      <c r="C1956" s="25"/>
    </row>
    <row r="1957" spans="2:3" x14ac:dyDescent="0.3">
      <c r="B1957" s="25"/>
      <c r="C1957" s="25"/>
    </row>
    <row r="1958" spans="2:3" x14ac:dyDescent="0.3">
      <c r="B1958" s="25"/>
      <c r="C1958" s="25"/>
    </row>
    <row r="1959" spans="2:3" x14ac:dyDescent="0.3">
      <c r="B1959" s="25"/>
      <c r="C1959" s="25"/>
    </row>
    <row r="1960" spans="2:3" x14ac:dyDescent="0.3">
      <c r="B1960" s="25"/>
      <c r="C1960" s="25"/>
    </row>
    <row r="1961" spans="2:3" x14ac:dyDescent="0.3">
      <c r="B1961" s="25"/>
      <c r="C1961" s="25"/>
    </row>
    <row r="1962" spans="2:3" x14ac:dyDescent="0.3">
      <c r="B1962" s="25"/>
      <c r="C1962" s="25"/>
    </row>
    <row r="1963" spans="2:3" x14ac:dyDescent="0.3">
      <c r="B1963" s="25"/>
      <c r="C1963" s="25"/>
    </row>
    <row r="1964" spans="2:3" x14ac:dyDescent="0.3">
      <c r="B1964" s="25"/>
      <c r="C1964" s="25"/>
    </row>
    <row r="1965" spans="2:3" x14ac:dyDescent="0.3">
      <c r="B1965" s="25"/>
      <c r="C1965" s="25"/>
    </row>
    <row r="1966" spans="2:3" x14ac:dyDescent="0.3">
      <c r="B1966" s="25"/>
      <c r="C1966" s="25"/>
    </row>
    <row r="1967" spans="2:3" x14ac:dyDescent="0.3">
      <c r="B1967" s="25"/>
      <c r="C1967" s="25"/>
    </row>
    <row r="1968" spans="2:3" x14ac:dyDescent="0.3">
      <c r="B1968" s="25"/>
      <c r="C1968" s="25"/>
    </row>
    <row r="1969" spans="2:3" x14ac:dyDescent="0.3">
      <c r="B1969" s="25"/>
      <c r="C1969" s="25"/>
    </row>
    <row r="1970" spans="2:3" x14ac:dyDescent="0.3">
      <c r="B1970" s="25"/>
      <c r="C1970" s="25"/>
    </row>
    <row r="1971" spans="2:3" x14ac:dyDescent="0.3">
      <c r="B1971" s="25"/>
      <c r="C1971" s="25"/>
    </row>
    <row r="1972" spans="2:3" x14ac:dyDescent="0.3">
      <c r="B1972" s="25"/>
      <c r="C1972" s="25"/>
    </row>
    <row r="1973" spans="2:3" x14ac:dyDescent="0.3">
      <c r="B1973" s="25"/>
      <c r="C1973" s="25"/>
    </row>
    <row r="1974" spans="2:3" x14ac:dyDescent="0.3">
      <c r="B1974" s="25"/>
      <c r="C1974" s="25"/>
    </row>
    <row r="1975" spans="2:3" x14ac:dyDescent="0.3">
      <c r="B1975" s="25"/>
      <c r="C1975" s="25"/>
    </row>
    <row r="1976" spans="2:3" x14ac:dyDescent="0.3">
      <c r="B1976" s="25"/>
      <c r="C1976" s="25"/>
    </row>
    <row r="1977" spans="2:3" x14ac:dyDescent="0.3">
      <c r="B1977" s="25"/>
      <c r="C1977" s="25"/>
    </row>
    <row r="1978" spans="2:3" x14ac:dyDescent="0.3">
      <c r="B1978" s="25"/>
      <c r="C1978" s="25"/>
    </row>
    <row r="1979" spans="2:3" x14ac:dyDescent="0.3">
      <c r="B1979" s="25"/>
      <c r="C1979" s="25"/>
    </row>
    <row r="1980" spans="2:3" x14ac:dyDescent="0.3">
      <c r="B1980" s="25"/>
      <c r="C1980" s="25"/>
    </row>
    <row r="1981" spans="2:3" x14ac:dyDescent="0.3">
      <c r="B1981" s="25"/>
      <c r="C1981" s="25"/>
    </row>
    <row r="1982" spans="2:3" x14ac:dyDescent="0.3">
      <c r="B1982" s="25"/>
      <c r="C1982" s="25"/>
    </row>
    <row r="1983" spans="2:3" x14ac:dyDescent="0.3">
      <c r="B1983" s="25"/>
      <c r="C1983" s="25"/>
    </row>
    <row r="1984" spans="2:3" x14ac:dyDescent="0.3">
      <c r="B1984" s="25"/>
      <c r="C1984" s="25"/>
    </row>
    <row r="1985" spans="2:3" x14ac:dyDescent="0.3">
      <c r="B1985" s="25"/>
      <c r="C1985" s="25"/>
    </row>
    <row r="1986" spans="2:3" x14ac:dyDescent="0.3">
      <c r="B1986" s="25"/>
      <c r="C1986" s="25"/>
    </row>
    <row r="1987" spans="2:3" x14ac:dyDescent="0.3">
      <c r="B1987" s="25"/>
      <c r="C1987" s="25"/>
    </row>
    <row r="1988" spans="2:3" x14ac:dyDescent="0.3">
      <c r="B1988" s="25"/>
      <c r="C1988" s="25"/>
    </row>
    <row r="1989" spans="2:3" x14ac:dyDescent="0.3">
      <c r="B1989" s="25"/>
      <c r="C1989" s="25"/>
    </row>
    <row r="1990" spans="2:3" x14ac:dyDescent="0.3">
      <c r="B1990" s="25"/>
      <c r="C1990" s="25"/>
    </row>
    <row r="1991" spans="2:3" x14ac:dyDescent="0.3">
      <c r="B1991" s="25"/>
      <c r="C1991" s="25"/>
    </row>
    <row r="1992" spans="2:3" x14ac:dyDescent="0.3">
      <c r="B1992" s="25"/>
      <c r="C1992" s="25"/>
    </row>
    <row r="1993" spans="2:3" x14ac:dyDescent="0.3">
      <c r="B1993" s="25"/>
      <c r="C1993" s="25"/>
    </row>
    <row r="1994" spans="2:3" x14ac:dyDescent="0.3">
      <c r="B1994" s="25"/>
      <c r="C1994" s="25"/>
    </row>
    <row r="1995" spans="2:3" x14ac:dyDescent="0.3">
      <c r="B1995" s="25"/>
      <c r="C1995" s="25"/>
    </row>
    <row r="1996" spans="2:3" x14ac:dyDescent="0.3">
      <c r="B1996" s="25"/>
      <c r="C1996" s="25"/>
    </row>
    <row r="1997" spans="2:3" x14ac:dyDescent="0.3">
      <c r="B1997" s="25"/>
      <c r="C1997" s="25"/>
    </row>
    <row r="1998" spans="2:3" x14ac:dyDescent="0.3">
      <c r="B1998" s="25"/>
      <c r="C1998" s="25"/>
    </row>
    <row r="1999" spans="2:3" x14ac:dyDescent="0.3">
      <c r="B1999" s="25"/>
      <c r="C1999" s="25"/>
    </row>
    <row r="2000" spans="2:3" x14ac:dyDescent="0.3">
      <c r="B2000" s="25"/>
      <c r="C2000" s="25"/>
    </row>
    <row r="2001" spans="2:3" x14ac:dyDescent="0.3">
      <c r="B2001" s="25"/>
      <c r="C2001" s="25"/>
    </row>
    <row r="2002" spans="2:3" x14ac:dyDescent="0.3">
      <c r="B2002" s="25"/>
      <c r="C2002" s="25"/>
    </row>
    <row r="2003" spans="2:3" x14ac:dyDescent="0.3">
      <c r="B2003" s="25"/>
      <c r="C2003" s="25"/>
    </row>
    <row r="2004" spans="2:3" x14ac:dyDescent="0.3">
      <c r="B2004" s="25"/>
      <c r="C2004" s="25"/>
    </row>
    <row r="2005" spans="2:3" x14ac:dyDescent="0.3">
      <c r="B2005" s="25"/>
      <c r="C2005" s="25"/>
    </row>
    <row r="2006" spans="2:3" x14ac:dyDescent="0.3">
      <c r="B2006" s="25"/>
      <c r="C2006" s="25"/>
    </row>
    <row r="2007" spans="2:3" x14ac:dyDescent="0.3">
      <c r="B2007" s="25"/>
      <c r="C2007" s="25"/>
    </row>
  </sheetData>
  <sheetProtection selectLockedCells="1"/>
  <mergeCells count="8">
    <mergeCell ref="I14:J14"/>
    <mergeCell ref="H12:J12"/>
    <mergeCell ref="D1:H1"/>
    <mergeCell ref="C2:I2"/>
    <mergeCell ref="A4:M4"/>
    <mergeCell ref="G8:G9"/>
    <mergeCell ref="I6:J6"/>
    <mergeCell ref="D6:E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puteTetra_btn">
          <controlPr defaultSize="0" autoLine="0" r:id="rId4">
            <anchor moveWithCells="1">
              <from>
                <xdr:col>4</xdr:col>
                <xdr:colOff>198120</xdr:colOff>
                <xdr:row>10</xdr:row>
                <xdr:rowOff>99060</xdr:rowOff>
              </from>
              <to>
                <xdr:col>6</xdr:col>
                <xdr:colOff>457200</xdr:colOff>
                <xdr:row>13</xdr:row>
                <xdr:rowOff>15240</xdr:rowOff>
              </to>
            </anchor>
          </controlPr>
        </control>
      </mc:Choice>
      <mc:Fallback>
        <control shapeId="1025" r:id="rId3" name="ComputeTetra_btn"/>
      </mc:Fallback>
    </mc:AlternateContent>
    <mc:AlternateContent xmlns:mc="http://schemas.openxmlformats.org/markup-compatibility/2006">
      <mc:Choice Requires="x14">
        <control shapeId="1029" r:id="rId5" name="Reset_btn">
          <controlPr defaultSize="0" autoLine="0" r:id="rId6">
            <anchor moveWithCells="1">
              <from>
                <xdr:col>11</xdr:col>
                <xdr:colOff>38100</xdr:colOff>
                <xdr:row>6</xdr:row>
                <xdr:rowOff>38100</xdr:rowOff>
              </from>
              <to>
                <xdr:col>12</xdr:col>
                <xdr:colOff>518160</xdr:colOff>
                <xdr:row>7</xdr:row>
                <xdr:rowOff>160020</xdr:rowOff>
              </to>
            </anchor>
          </controlPr>
        </control>
      </mc:Choice>
      <mc:Fallback>
        <control shapeId="1029" r:id="rId5" name="Reset_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016"/>
  <sheetViews>
    <sheetView topLeftCell="A10" workbookViewId="0">
      <selection activeCell="C29" sqref="C29"/>
    </sheetView>
  </sheetViews>
  <sheetFormatPr defaultRowHeight="14.4" x14ac:dyDescent="0.3"/>
  <cols>
    <col min="6" max="6" width="10.109375" customWidth="1"/>
    <col min="7" max="7" width="10.77734375" customWidth="1"/>
    <col min="13" max="13" width="10.6640625" customWidth="1"/>
    <col min="14" max="14" width="10" customWidth="1"/>
  </cols>
  <sheetData>
    <row r="1" spans="1:15" ht="17.399999999999999" x14ac:dyDescent="0.3">
      <c r="A1" s="47" t="s">
        <v>15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</row>
    <row r="2" spans="1:15" x14ac:dyDescent="0.3">
      <c r="A2" s="25"/>
    </row>
    <row r="3" spans="1:15" ht="15.6" x14ac:dyDescent="0.3">
      <c r="A3" s="14" t="s">
        <v>16</v>
      </c>
    </row>
    <row r="4" spans="1:15" x14ac:dyDescent="0.3">
      <c r="B4" s="13" t="s">
        <v>17</v>
      </c>
      <c r="C4" s="13"/>
    </row>
    <row r="5" spans="1:15" x14ac:dyDescent="0.3">
      <c r="B5" s="13" t="s">
        <v>18</v>
      </c>
      <c r="C5" s="13"/>
    </row>
    <row r="6" spans="1:15" x14ac:dyDescent="0.3">
      <c r="B6" s="13" t="s">
        <v>19</v>
      </c>
      <c r="C6" s="13"/>
    </row>
    <row r="7" spans="1:15" x14ac:dyDescent="0.3">
      <c r="B7" s="13" t="s">
        <v>20</v>
      </c>
      <c r="C7" s="13"/>
    </row>
    <row r="8" spans="1:15" x14ac:dyDescent="0.3">
      <c r="B8" s="13" t="s">
        <v>21</v>
      </c>
      <c r="C8" s="13"/>
    </row>
    <row r="9" spans="1:15" x14ac:dyDescent="0.3">
      <c r="B9" s="13" t="s">
        <v>22</v>
      </c>
      <c r="C9" s="13"/>
    </row>
    <row r="10" spans="1:15" x14ac:dyDescent="0.3">
      <c r="B10" s="13" t="s">
        <v>23</v>
      </c>
      <c r="C10" s="13"/>
    </row>
    <row r="11" spans="1:15" x14ac:dyDescent="0.3">
      <c r="B11" s="13" t="s">
        <v>25</v>
      </c>
      <c r="C11" s="13"/>
    </row>
    <row r="12" spans="1:15" x14ac:dyDescent="0.3">
      <c r="B12" s="13" t="s">
        <v>24</v>
      </c>
      <c r="C12" s="13"/>
    </row>
    <row r="13" spans="1:15" ht="15" thickBot="1" x14ac:dyDescent="0.35"/>
    <row r="14" spans="1:15" ht="16.2" thickBot="1" x14ac:dyDescent="0.35">
      <c r="B14" s="48" t="s">
        <v>26</v>
      </c>
      <c r="C14" s="48"/>
      <c r="E14" s="49" t="s">
        <v>27</v>
      </c>
      <c r="F14" s="49"/>
      <c r="G14" s="49"/>
      <c r="H14" s="49"/>
      <c r="I14" s="49"/>
      <c r="J14" s="49"/>
      <c r="K14" s="49"/>
      <c r="M14" s="50" t="s">
        <v>30</v>
      </c>
      <c r="N14" s="50"/>
    </row>
    <row r="15" spans="1:15" ht="16.2" thickBot="1" x14ac:dyDescent="0.35">
      <c r="B15" s="17" t="s">
        <v>0</v>
      </c>
      <c r="C15" s="17" t="s">
        <v>1</v>
      </c>
      <c r="E15" s="16" t="s">
        <v>28</v>
      </c>
      <c r="F15" s="51" t="s">
        <v>43</v>
      </c>
      <c r="G15" s="51"/>
      <c r="H15" s="51"/>
      <c r="I15" s="51"/>
      <c r="J15" s="52"/>
      <c r="K15" s="30"/>
      <c r="M15" s="17" t="s">
        <v>0</v>
      </c>
      <c r="N15" s="17" t="s">
        <v>1</v>
      </c>
    </row>
    <row r="16" spans="1:15" ht="16.2" thickBot="1" x14ac:dyDescent="0.35">
      <c r="B16" s="31"/>
      <c r="C16" s="31"/>
      <c r="E16" s="16" t="s">
        <v>29</v>
      </c>
      <c r="F16" s="51" t="s">
        <v>43</v>
      </c>
      <c r="G16" s="51"/>
      <c r="H16" s="51"/>
      <c r="I16" s="51"/>
      <c r="J16" s="52"/>
      <c r="K16" s="30"/>
      <c r="M16" s="25"/>
      <c r="N16" s="25"/>
    </row>
    <row r="17" spans="2:14" ht="16.2" thickBot="1" x14ac:dyDescent="0.35">
      <c r="B17" s="31"/>
      <c r="C17" s="31"/>
      <c r="M17" s="25"/>
      <c r="N17" s="25"/>
    </row>
    <row r="18" spans="2:14" ht="15.6" x14ac:dyDescent="0.3">
      <c r="B18" s="31"/>
      <c r="C18" s="31"/>
      <c r="H18" s="43" t="s">
        <v>31</v>
      </c>
      <c r="I18" s="44"/>
      <c r="J18" s="40" t="s">
        <v>0</v>
      </c>
      <c r="K18" s="41"/>
      <c r="M18" s="25"/>
      <c r="N18" s="25"/>
    </row>
    <row r="19" spans="2:14" ht="16.2" thickBot="1" x14ac:dyDescent="0.35">
      <c r="B19" s="31"/>
      <c r="C19" s="31"/>
      <c r="H19" s="45"/>
      <c r="I19" s="46"/>
      <c r="J19" s="5" t="s">
        <v>32</v>
      </c>
      <c r="K19" s="3" t="s">
        <v>33</v>
      </c>
      <c r="M19" s="25"/>
      <c r="N19" s="25"/>
    </row>
    <row r="20" spans="2:14" ht="15.6" x14ac:dyDescent="0.3">
      <c r="B20" s="31"/>
      <c r="C20" s="31"/>
      <c r="H20" s="38" t="s">
        <v>1</v>
      </c>
      <c r="I20" s="6" t="s">
        <v>32</v>
      </c>
      <c r="J20" s="22">
        <f>COUNTIFS($M$16:$M$1015,2,$N$16:$N$1015,2)</f>
        <v>0</v>
      </c>
      <c r="K20" s="22">
        <f>COUNTIFS($M$16:$M$1015,1,$N$16:$N$1015,2)</f>
        <v>0</v>
      </c>
      <c r="M20" s="25"/>
      <c r="N20" s="25"/>
    </row>
    <row r="21" spans="2:14" ht="16.2" thickBot="1" x14ac:dyDescent="0.35">
      <c r="B21" s="31"/>
      <c r="C21" s="31"/>
      <c r="H21" s="39"/>
      <c r="I21" s="2" t="s">
        <v>33</v>
      </c>
      <c r="J21" s="22">
        <f>COUNTIFS($M$16:$M$1015,2,$N$16:$N$1015,1)</f>
        <v>0</v>
      </c>
      <c r="K21" s="22">
        <f>COUNTIFS($M$16:$M$1015,1,$N$16:$N$1015,1)</f>
        <v>0</v>
      </c>
      <c r="M21" s="25"/>
      <c r="N21" s="25"/>
    </row>
    <row r="22" spans="2:14" ht="15.6" x14ac:dyDescent="0.3">
      <c r="B22" s="31"/>
      <c r="C22" s="31"/>
      <c r="M22" s="25"/>
      <c r="N22" s="25"/>
    </row>
    <row r="23" spans="2:14" ht="15.6" x14ac:dyDescent="0.3">
      <c r="B23" s="31"/>
      <c r="C23" s="31"/>
      <c r="M23" s="25"/>
      <c r="N23" s="25"/>
    </row>
    <row r="24" spans="2:14" ht="15.6" x14ac:dyDescent="0.3">
      <c r="B24" s="31"/>
      <c r="C24" s="31"/>
      <c r="M24" s="25"/>
      <c r="N24" s="25"/>
    </row>
    <row r="25" spans="2:14" ht="15.6" x14ac:dyDescent="0.3">
      <c r="B25" s="31"/>
      <c r="C25" s="31"/>
      <c r="M25" s="25"/>
      <c r="N25" s="25"/>
    </row>
    <row r="26" spans="2:14" ht="15.6" x14ac:dyDescent="0.3">
      <c r="B26" s="31"/>
      <c r="C26" s="31"/>
      <c r="M26" s="25"/>
      <c r="N26" s="25"/>
    </row>
    <row r="27" spans="2:14" ht="15.6" x14ac:dyDescent="0.3">
      <c r="B27" s="31"/>
      <c r="C27" s="31"/>
      <c r="M27" s="25"/>
      <c r="N27" s="25"/>
    </row>
    <row r="28" spans="2:14" ht="15.6" x14ac:dyDescent="0.3">
      <c r="B28" s="31"/>
      <c r="C28" s="31"/>
      <c r="M28" s="25"/>
      <c r="N28" s="25"/>
    </row>
    <row r="29" spans="2:14" ht="15.6" x14ac:dyDescent="0.3">
      <c r="B29" s="31"/>
      <c r="C29" s="31"/>
      <c r="M29" s="25"/>
      <c r="N29" s="25"/>
    </row>
    <row r="30" spans="2:14" ht="15.6" x14ac:dyDescent="0.3">
      <c r="B30" s="31"/>
      <c r="C30" s="31"/>
      <c r="M30" s="25"/>
      <c r="N30" s="25"/>
    </row>
    <row r="31" spans="2:14" ht="15.6" x14ac:dyDescent="0.3">
      <c r="B31" s="31"/>
      <c r="C31" s="31"/>
      <c r="M31" s="25"/>
      <c r="N31" s="25"/>
    </row>
    <row r="32" spans="2:14" ht="15.6" x14ac:dyDescent="0.3">
      <c r="B32" s="31"/>
      <c r="C32" s="31"/>
      <c r="M32" s="25"/>
      <c r="N32" s="25"/>
    </row>
    <row r="33" spans="2:14" ht="15.6" x14ac:dyDescent="0.3">
      <c r="B33" s="31"/>
      <c r="C33" s="31"/>
      <c r="M33" s="25"/>
      <c r="N33" s="25"/>
    </row>
    <row r="34" spans="2:14" ht="15.6" x14ac:dyDescent="0.3">
      <c r="B34" s="31"/>
      <c r="C34" s="31"/>
      <c r="M34" s="25"/>
      <c r="N34" s="25"/>
    </row>
    <row r="35" spans="2:14" ht="15.6" x14ac:dyDescent="0.3">
      <c r="B35" s="31"/>
      <c r="C35" s="31"/>
      <c r="M35" s="25"/>
      <c r="N35" s="25"/>
    </row>
    <row r="36" spans="2:14" ht="15.6" x14ac:dyDescent="0.3">
      <c r="B36" s="31"/>
      <c r="C36" s="31"/>
      <c r="M36" s="25"/>
      <c r="N36" s="25"/>
    </row>
    <row r="37" spans="2:14" ht="15.6" x14ac:dyDescent="0.3">
      <c r="B37" s="31"/>
      <c r="C37" s="31"/>
      <c r="M37" s="25"/>
      <c r="N37" s="25"/>
    </row>
    <row r="38" spans="2:14" ht="15.6" x14ac:dyDescent="0.3">
      <c r="B38" s="31"/>
      <c r="C38" s="31"/>
      <c r="M38" s="25"/>
      <c r="N38" s="25"/>
    </row>
    <row r="39" spans="2:14" ht="15.6" x14ac:dyDescent="0.3">
      <c r="B39" s="31"/>
      <c r="C39" s="31"/>
      <c r="M39" s="25"/>
      <c r="N39" s="25"/>
    </row>
    <row r="40" spans="2:14" ht="15.6" x14ac:dyDescent="0.3">
      <c r="B40" s="31"/>
      <c r="C40" s="31"/>
      <c r="M40" s="25"/>
      <c r="N40" s="25"/>
    </row>
    <row r="41" spans="2:14" ht="15.6" x14ac:dyDescent="0.3">
      <c r="B41" s="31"/>
      <c r="C41" s="31"/>
      <c r="M41" s="25"/>
      <c r="N41" s="25"/>
    </row>
    <row r="42" spans="2:14" ht="15.6" x14ac:dyDescent="0.3">
      <c r="B42" s="31"/>
      <c r="C42" s="31"/>
      <c r="M42" s="25"/>
      <c r="N42" s="25"/>
    </row>
    <row r="43" spans="2:14" ht="15.6" x14ac:dyDescent="0.3">
      <c r="B43" s="31"/>
      <c r="C43" s="31"/>
      <c r="M43" s="25"/>
      <c r="N43" s="25"/>
    </row>
    <row r="44" spans="2:14" ht="15.6" x14ac:dyDescent="0.3">
      <c r="B44" s="31"/>
      <c r="C44" s="31"/>
      <c r="M44" s="25"/>
      <c r="N44" s="25"/>
    </row>
    <row r="45" spans="2:14" ht="15.6" x14ac:dyDescent="0.3">
      <c r="B45" s="31"/>
      <c r="C45" s="31"/>
      <c r="M45" s="25"/>
      <c r="N45" s="25"/>
    </row>
    <row r="46" spans="2:14" ht="15.6" x14ac:dyDescent="0.3">
      <c r="B46" s="31"/>
      <c r="C46" s="31"/>
      <c r="M46" s="25"/>
      <c r="N46" s="25"/>
    </row>
    <row r="47" spans="2:14" ht="15.6" x14ac:dyDescent="0.3">
      <c r="B47" s="31"/>
      <c r="C47" s="31"/>
      <c r="M47" s="25"/>
      <c r="N47" s="25"/>
    </row>
    <row r="48" spans="2:14" ht="15.6" x14ac:dyDescent="0.3">
      <c r="B48" s="31"/>
      <c r="C48" s="31"/>
      <c r="M48" s="25"/>
      <c r="N48" s="25"/>
    </row>
    <row r="49" spans="2:14" ht="15.6" x14ac:dyDescent="0.3">
      <c r="B49" s="31"/>
      <c r="C49" s="31"/>
      <c r="M49" s="25"/>
      <c r="N49" s="25"/>
    </row>
    <row r="50" spans="2:14" ht="15.6" x14ac:dyDescent="0.3">
      <c r="B50" s="31"/>
      <c r="C50" s="31"/>
      <c r="M50" s="25"/>
      <c r="N50" s="25"/>
    </row>
    <row r="51" spans="2:14" ht="15.6" x14ac:dyDescent="0.3">
      <c r="B51" s="31"/>
      <c r="C51" s="31"/>
      <c r="M51" s="25"/>
      <c r="N51" s="25"/>
    </row>
    <row r="52" spans="2:14" ht="15.6" x14ac:dyDescent="0.3">
      <c r="B52" s="31"/>
      <c r="C52" s="31"/>
      <c r="M52" s="25"/>
      <c r="N52" s="25"/>
    </row>
    <row r="53" spans="2:14" ht="15.6" x14ac:dyDescent="0.3">
      <c r="B53" s="31"/>
      <c r="C53" s="31"/>
      <c r="M53" s="25"/>
      <c r="N53" s="25"/>
    </row>
    <row r="54" spans="2:14" ht="15.6" x14ac:dyDescent="0.3">
      <c r="B54" s="31"/>
      <c r="C54" s="31"/>
      <c r="M54" s="25"/>
      <c r="N54" s="25"/>
    </row>
    <row r="55" spans="2:14" ht="15.6" x14ac:dyDescent="0.3">
      <c r="B55" s="31"/>
      <c r="C55" s="31"/>
      <c r="M55" s="25"/>
      <c r="N55" s="25"/>
    </row>
    <row r="56" spans="2:14" ht="15.6" x14ac:dyDescent="0.3">
      <c r="B56" s="31"/>
      <c r="C56" s="31"/>
      <c r="M56" s="25"/>
      <c r="N56" s="25"/>
    </row>
    <row r="57" spans="2:14" ht="15.6" x14ac:dyDescent="0.3">
      <c r="B57" s="31"/>
      <c r="C57" s="31"/>
      <c r="M57" s="25"/>
      <c r="N57" s="25"/>
    </row>
    <row r="58" spans="2:14" ht="15.6" x14ac:dyDescent="0.3">
      <c r="B58" s="31"/>
      <c r="C58" s="31"/>
      <c r="M58" s="25"/>
      <c r="N58" s="25"/>
    </row>
    <row r="59" spans="2:14" ht="15.6" x14ac:dyDescent="0.3">
      <c r="B59" s="31"/>
      <c r="C59" s="31"/>
      <c r="M59" s="25"/>
      <c r="N59" s="25"/>
    </row>
    <row r="60" spans="2:14" ht="15.6" x14ac:dyDescent="0.3">
      <c r="B60" s="31"/>
      <c r="C60" s="31"/>
      <c r="M60" s="25"/>
      <c r="N60" s="25"/>
    </row>
    <row r="61" spans="2:14" ht="15.6" x14ac:dyDescent="0.3">
      <c r="B61" s="31"/>
      <c r="C61" s="31"/>
      <c r="M61" s="25"/>
      <c r="N61" s="25"/>
    </row>
    <row r="62" spans="2:14" ht="15.6" x14ac:dyDescent="0.3">
      <c r="B62" s="31"/>
      <c r="C62" s="31"/>
      <c r="M62" s="25"/>
      <c r="N62" s="25"/>
    </row>
    <row r="63" spans="2:14" ht="15.6" x14ac:dyDescent="0.3">
      <c r="B63" s="31"/>
      <c r="C63" s="31"/>
      <c r="M63" s="25"/>
      <c r="N63" s="25"/>
    </row>
    <row r="64" spans="2:14" ht="15.6" x14ac:dyDescent="0.3">
      <c r="B64" s="31"/>
      <c r="C64" s="31"/>
      <c r="M64" s="25"/>
      <c r="N64" s="25"/>
    </row>
    <row r="65" spans="2:14" ht="15.6" x14ac:dyDescent="0.3">
      <c r="B65" s="31"/>
      <c r="C65" s="31"/>
      <c r="M65" s="25"/>
      <c r="N65" s="25"/>
    </row>
    <row r="66" spans="2:14" ht="15.6" x14ac:dyDescent="0.3">
      <c r="B66" s="31"/>
      <c r="C66" s="31"/>
      <c r="M66" s="25"/>
      <c r="N66" s="25"/>
    </row>
    <row r="67" spans="2:14" ht="15.6" x14ac:dyDescent="0.3">
      <c r="B67" s="31"/>
      <c r="C67" s="31"/>
      <c r="M67" s="25"/>
      <c r="N67" s="25"/>
    </row>
    <row r="68" spans="2:14" ht="15.6" x14ac:dyDescent="0.3">
      <c r="B68" s="31"/>
      <c r="C68" s="31"/>
      <c r="M68" s="25"/>
      <c r="N68" s="25"/>
    </row>
    <row r="69" spans="2:14" ht="15.6" x14ac:dyDescent="0.3">
      <c r="B69" s="31"/>
      <c r="C69" s="31"/>
      <c r="M69" s="25"/>
      <c r="N69" s="25"/>
    </row>
    <row r="70" spans="2:14" ht="15.6" x14ac:dyDescent="0.3">
      <c r="B70" s="31"/>
      <c r="C70" s="31"/>
      <c r="M70" s="25"/>
      <c r="N70" s="25"/>
    </row>
    <row r="71" spans="2:14" ht="15.6" x14ac:dyDescent="0.3">
      <c r="B71" s="31"/>
      <c r="C71" s="31"/>
      <c r="M71" s="25"/>
      <c r="N71" s="25"/>
    </row>
    <row r="72" spans="2:14" ht="15.6" x14ac:dyDescent="0.3">
      <c r="B72" s="31"/>
      <c r="C72" s="31"/>
      <c r="M72" s="25"/>
      <c r="N72" s="25"/>
    </row>
    <row r="73" spans="2:14" ht="15.6" x14ac:dyDescent="0.3">
      <c r="B73" s="31"/>
      <c r="C73" s="31"/>
      <c r="M73" s="25"/>
      <c r="N73" s="25"/>
    </row>
    <row r="74" spans="2:14" ht="15.6" x14ac:dyDescent="0.3">
      <c r="B74" s="31"/>
      <c r="C74" s="31"/>
      <c r="M74" s="25"/>
      <c r="N74" s="25"/>
    </row>
    <row r="75" spans="2:14" ht="15.6" x14ac:dyDescent="0.3">
      <c r="B75" s="31"/>
      <c r="C75" s="31"/>
      <c r="M75" s="25"/>
      <c r="N75" s="25"/>
    </row>
    <row r="76" spans="2:14" ht="15.6" x14ac:dyDescent="0.3">
      <c r="B76" s="31"/>
      <c r="C76" s="31"/>
      <c r="M76" s="25"/>
      <c r="N76" s="25"/>
    </row>
    <row r="77" spans="2:14" ht="15.6" x14ac:dyDescent="0.3">
      <c r="B77" s="31"/>
      <c r="C77" s="31"/>
      <c r="M77" s="25"/>
      <c r="N77" s="25"/>
    </row>
    <row r="78" spans="2:14" ht="15.6" x14ac:dyDescent="0.3">
      <c r="B78" s="31"/>
      <c r="C78" s="31"/>
      <c r="M78" s="25"/>
      <c r="N78" s="25"/>
    </row>
    <row r="79" spans="2:14" ht="15.6" x14ac:dyDescent="0.3">
      <c r="B79" s="31"/>
      <c r="C79" s="31"/>
      <c r="M79" s="25"/>
      <c r="N79" s="25"/>
    </row>
    <row r="80" spans="2:14" ht="15.6" x14ac:dyDescent="0.3">
      <c r="B80" s="31"/>
      <c r="C80" s="31"/>
      <c r="M80" s="25"/>
      <c r="N80" s="25"/>
    </row>
    <row r="81" spans="2:14" ht="15.6" x14ac:dyDescent="0.3">
      <c r="B81" s="31"/>
      <c r="C81" s="31"/>
      <c r="M81" s="25"/>
      <c r="N81" s="25"/>
    </row>
    <row r="82" spans="2:14" ht="15.6" x14ac:dyDescent="0.3">
      <c r="B82" s="31"/>
      <c r="C82" s="31"/>
      <c r="M82" s="25"/>
      <c r="N82" s="25"/>
    </row>
    <row r="83" spans="2:14" ht="15.6" x14ac:dyDescent="0.3">
      <c r="B83" s="31"/>
      <c r="C83" s="31"/>
      <c r="M83" s="25"/>
      <c r="N83" s="25"/>
    </row>
    <row r="84" spans="2:14" ht="15.6" x14ac:dyDescent="0.3">
      <c r="B84" s="31"/>
      <c r="C84" s="31"/>
      <c r="M84" s="25"/>
      <c r="N84" s="25"/>
    </row>
    <row r="85" spans="2:14" ht="15.6" x14ac:dyDescent="0.3">
      <c r="B85" s="31"/>
      <c r="C85" s="31"/>
      <c r="M85" s="25"/>
      <c r="N85" s="25"/>
    </row>
    <row r="86" spans="2:14" ht="15.6" x14ac:dyDescent="0.3">
      <c r="B86" s="31"/>
      <c r="C86" s="31"/>
      <c r="M86" s="25"/>
      <c r="N86" s="25"/>
    </row>
    <row r="87" spans="2:14" ht="15.6" x14ac:dyDescent="0.3">
      <c r="B87" s="31"/>
      <c r="C87" s="31"/>
      <c r="M87" s="25"/>
      <c r="N87" s="25"/>
    </row>
    <row r="88" spans="2:14" ht="15.6" x14ac:dyDescent="0.3">
      <c r="B88" s="31"/>
      <c r="C88" s="31"/>
      <c r="M88" s="25"/>
      <c r="N88" s="25"/>
    </row>
    <row r="89" spans="2:14" ht="15.6" x14ac:dyDescent="0.3">
      <c r="B89" s="31"/>
      <c r="C89" s="31"/>
      <c r="M89" s="25"/>
      <c r="N89" s="25"/>
    </row>
    <row r="90" spans="2:14" ht="15.6" x14ac:dyDescent="0.3">
      <c r="B90" s="31"/>
      <c r="C90" s="31"/>
      <c r="M90" s="25"/>
      <c r="N90" s="25"/>
    </row>
    <row r="91" spans="2:14" ht="15.6" x14ac:dyDescent="0.3">
      <c r="B91" s="31"/>
      <c r="C91" s="31"/>
      <c r="M91" s="25"/>
      <c r="N91" s="25"/>
    </row>
    <row r="92" spans="2:14" ht="15.6" x14ac:dyDescent="0.3">
      <c r="B92" s="31"/>
      <c r="C92" s="31"/>
      <c r="M92" s="25"/>
      <c r="N92" s="25"/>
    </row>
    <row r="93" spans="2:14" ht="15.6" x14ac:dyDescent="0.3">
      <c r="B93" s="31"/>
      <c r="C93" s="31"/>
      <c r="M93" s="25"/>
      <c r="N93" s="25"/>
    </row>
    <row r="94" spans="2:14" ht="15.6" x14ac:dyDescent="0.3">
      <c r="B94" s="31"/>
      <c r="C94" s="31"/>
      <c r="M94" s="25"/>
      <c r="N94" s="25"/>
    </row>
    <row r="95" spans="2:14" ht="15.6" x14ac:dyDescent="0.3">
      <c r="B95" s="31"/>
      <c r="C95" s="31"/>
      <c r="M95" s="25"/>
      <c r="N95" s="25"/>
    </row>
    <row r="96" spans="2:14" ht="15.6" x14ac:dyDescent="0.3">
      <c r="B96" s="31"/>
      <c r="C96" s="31"/>
      <c r="M96" s="25"/>
      <c r="N96" s="25"/>
    </row>
    <row r="97" spans="2:14" ht="15.6" x14ac:dyDescent="0.3">
      <c r="B97" s="31"/>
      <c r="C97" s="31"/>
      <c r="M97" s="25"/>
      <c r="N97" s="25"/>
    </row>
    <row r="98" spans="2:14" ht="15.6" x14ac:dyDescent="0.3">
      <c r="B98" s="31"/>
      <c r="C98" s="31"/>
      <c r="M98" s="25"/>
      <c r="N98" s="25"/>
    </row>
    <row r="99" spans="2:14" ht="15.6" x14ac:dyDescent="0.3">
      <c r="B99" s="31"/>
      <c r="C99" s="31"/>
      <c r="M99" s="25"/>
      <c r="N99" s="25"/>
    </row>
    <row r="100" spans="2:14" ht="15.6" x14ac:dyDescent="0.3">
      <c r="B100" s="31"/>
      <c r="C100" s="31"/>
      <c r="M100" s="25"/>
      <c r="N100" s="25"/>
    </row>
    <row r="101" spans="2:14" ht="15.6" x14ac:dyDescent="0.3">
      <c r="B101" s="31"/>
      <c r="C101" s="31"/>
      <c r="M101" s="25"/>
      <c r="N101" s="25"/>
    </row>
    <row r="102" spans="2:14" ht="15.6" x14ac:dyDescent="0.3">
      <c r="B102" s="31"/>
      <c r="C102" s="31"/>
      <c r="M102" s="25"/>
      <c r="N102" s="25"/>
    </row>
    <row r="103" spans="2:14" ht="15.6" x14ac:dyDescent="0.3">
      <c r="B103" s="31"/>
      <c r="C103" s="31"/>
      <c r="M103" s="25"/>
      <c r="N103" s="25"/>
    </row>
    <row r="104" spans="2:14" ht="15.6" x14ac:dyDescent="0.3">
      <c r="B104" s="31"/>
      <c r="C104" s="31"/>
      <c r="M104" s="25"/>
      <c r="N104" s="25"/>
    </row>
    <row r="105" spans="2:14" ht="15.6" x14ac:dyDescent="0.3">
      <c r="B105" s="31"/>
      <c r="C105" s="31"/>
      <c r="M105" s="25"/>
      <c r="N105" s="25"/>
    </row>
    <row r="106" spans="2:14" ht="15.6" x14ac:dyDescent="0.3">
      <c r="B106" s="31"/>
      <c r="C106" s="31"/>
      <c r="M106" s="25"/>
      <c r="N106" s="25"/>
    </row>
    <row r="107" spans="2:14" ht="15.6" x14ac:dyDescent="0.3">
      <c r="B107" s="31"/>
      <c r="C107" s="31"/>
      <c r="M107" s="25"/>
      <c r="N107" s="25"/>
    </row>
    <row r="108" spans="2:14" ht="15.6" x14ac:dyDescent="0.3">
      <c r="B108" s="31"/>
      <c r="C108" s="31"/>
      <c r="M108" s="25"/>
      <c r="N108" s="25"/>
    </row>
    <row r="109" spans="2:14" ht="15.6" x14ac:dyDescent="0.3">
      <c r="B109" s="31"/>
      <c r="C109" s="31"/>
      <c r="M109" s="25"/>
      <c r="N109" s="25"/>
    </row>
    <row r="110" spans="2:14" ht="15.6" x14ac:dyDescent="0.3">
      <c r="B110" s="31"/>
      <c r="C110" s="31"/>
      <c r="M110" s="25"/>
      <c r="N110" s="25"/>
    </row>
    <row r="111" spans="2:14" ht="15.6" x14ac:dyDescent="0.3">
      <c r="B111" s="31"/>
      <c r="C111" s="31"/>
      <c r="M111" s="25"/>
      <c r="N111" s="25"/>
    </row>
    <row r="112" spans="2:14" ht="15.6" x14ac:dyDescent="0.3">
      <c r="B112" s="31"/>
      <c r="C112" s="31"/>
      <c r="M112" s="25"/>
      <c r="N112" s="25"/>
    </row>
    <row r="113" spans="2:14" ht="15.6" x14ac:dyDescent="0.3">
      <c r="B113" s="31"/>
      <c r="C113" s="31"/>
      <c r="M113" s="25"/>
      <c r="N113" s="25"/>
    </row>
    <row r="114" spans="2:14" ht="15.6" x14ac:dyDescent="0.3">
      <c r="B114" s="31"/>
      <c r="C114" s="31"/>
      <c r="M114" s="25"/>
      <c r="N114" s="25"/>
    </row>
    <row r="115" spans="2:14" ht="15.6" x14ac:dyDescent="0.3">
      <c r="B115" s="31"/>
      <c r="C115" s="31"/>
      <c r="M115" s="25"/>
      <c r="N115" s="25"/>
    </row>
    <row r="116" spans="2:14" ht="15.6" x14ac:dyDescent="0.3">
      <c r="B116" s="31"/>
      <c r="C116" s="31"/>
      <c r="M116" s="25"/>
      <c r="N116" s="25"/>
    </row>
    <row r="117" spans="2:14" ht="15.6" x14ac:dyDescent="0.3">
      <c r="B117" s="31"/>
      <c r="C117" s="31"/>
      <c r="M117" s="25"/>
      <c r="N117" s="25"/>
    </row>
    <row r="118" spans="2:14" ht="15.6" x14ac:dyDescent="0.3">
      <c r="B118" s="31"/>
      <c r="C118" s="31"/>
      <c r="M118" s="25"/>
      <c r="N118" s="25"/>
    </row>
    <row r="119" spans="2:14" ht="15.6" x14ac:dyDescent="0.3">
      <c r="B119" s="31"/>
      <c r="C119" s="31"/>
      <c r="M119" s="25"/>
      <c r="N119" s="25"/>
    </row>
    <row r="120" spans="2:14" ht="15.6" x14ac:dyDescent="0.3">
      <c r="B120" s="31"/>
      <c r="C120" s="31"/>
      <c r="M120" s="25"/>
      <c r="N120" s="25"/>
    </row>
    <row r="121" spans="2:14" ht="15.6" x14ac:dyDescent="0.3">
      <c r="B121" s="31"/>
      <c r="C121" s="31"/>
      <c r="M121" s="25"/>
      <c r="N121" s="25"/>
    </row>
    <row r="122" spans="2:14" ht="15.6" x14ac:dyDescent="0.3">
      <c r="B122" s="31"/>
      <c r="C122" s="31"/>
      <c r="M122" s="25"/>
      <c r="N122" s="25"/>
    </row>
    <row r="123" spans="2:14" ht="15.6" x14ac:dyDescent="0.3">
      <c r="B123" s="31"/>
      <c r="C123" s="31"/>
      <c r="M123" s="25"/>
      <c r="N123" s="25"/>
    </row>
    <row r="124" spans="2:14" ht="15.6" x14ac:dyDescent="0.3">
      <c r="B124" s="31"/>
      <c r="C124" s="31"/>
      <c r="M124" s="25"/>
      <c r="N124" s="25"/>
    </row>
    <row r="125" spans="2:14" ht="15.6" x14ac:dyDescent="0.3">
      <c r="B125" s="31"/>
      <c r="C125" s="31"/>
      <c r="M125" s="25"/>
      <c r="N125" s="25"/>
    </row>
    <row r="126" spans="2:14" ht="15.6" x14ac:dyDescent="0.3">
      <c r="B126" s="31"/>
      <c r="C126" s="31"/>
      <c r="M126" s="25"/>
      <c r="N126" s="25"/>
    </row>
    <row r="127" spans="2:14" ht="15.6" x14ac:dyDescent="0.3">
      <c r="B127" s="31"/>
      <c r="C127" s="31"/>
      <c r="M127" s="25"/>
      <c r="N127" s="25"/>
    </row>
    <row r="128" spans="2:14" ht="15.6" x14ac:dyDescent="0.3">
      <c r="B128" s="31"/>
      <c r="C128" s="31"/>
      <c r="M128" s="25"/>
      <c r="N128" s="25"/>
    </row>
    <row r="129" spans="2:14" ht="15.6" x14ac:dyDescent="0.3">
      <c r="B129" s="31"/>
      <c r="C129" s="31"/>
      <c r="M129" s="25"/>
      <c r="N129" s="25"/>
    </row>
    <row r="130" spans="2:14" ht="15.6" x14ac:dyDescent="0.3">
      <c r="B130" s="31"/>
      <c r="C130" s="31"/>
      <c r="M130" s="25"/>
      <c r="N130" s="25"/>
    </row>
    <row r="131" spans="2:14" ht="15.6" x14ac:dyDescent="0.3">
      <c r="B131" s="31"/>
      <c r="C131" s="31"/>
      <c r="M131" s="25"/>
      <c r="N131" s="25"/>
    </row>
    <row r="132" spans="2:14" ht="15.6" x14ac:dyDescent="0.3">
      <c r="B132" s="31"/>
      <c r="C132" s="31"/>
      <c r="M132" s="25"/>
      <c r="N132" s="25"/>
    </row>
    <row r="133" spans="2:14" ht="15.6" x14ac:dyDescent="0.3">
      <c r="B133" s="31"/>
      <c r="C133" s="31"/>
      <c r="M133" s="25"/>
      <c r="N133" s="25"/>
    </row>
    <row r="134" spans="2:14" ht="15.6" x14ac:dyDescent="0.3">
      <c r="B134" s="31"/>
      <c r="C134" s="31"/>
      <c r="M134" s="25"/>
      <c r="N134" s="25"/>
    </row>
    <row r="135" spans="2:14" ht="15.6" x14ac:dyDescent="0.3">
      <c r="B135" s="31"/>
      <c r="C135" s="31"/>
      <c r="M135" s="25"/>
      <c r="N135" s="25"/>
    </row>
    <row r="136" spans="2:14" ht="15.6" x14ac:dyDescent="0.3">
      <c r="B136" s="31"/>
      <c r="C136" s="31"/>
      <c r="M136" s="25"/>
      <c r="N136" s="25"/>
    </row>
    <row r="137" spans="2:14" ht="15.6" x14ac:dyDescent="0.3">
      <c r="B137" s="31"/>
      <c r="C137" s="31"/>
      <c r="M137" s="25"/>
      <c r="N137" s="25"/>
    </row>
    <row r="138" spans="2:14" ht="15.6" x14ac:dyDescent="0.3">
      <c r="B138" s="31"/>
      <c r="C138" s="31"/>
      <c r="M138" s="25"/>
      <c r="N138" s="25"/>
    </row>
    <row r="139" spans="2:14" ht="15.6" x14ac:dyDescent="0.3">
      <c r="B139" s="31"/>
      <c r="C139" s="31"/>
      <c r="M139" s="25"/>
      <c r="N139" s="25"/>
    </row>
    <row r="140" spans="2:14" ht="15.6" x14ac:dyDescent="0.3">
      <c r="B140" s="31"/>
      <c r="C140" s="31"/>
      <c r="M140" s="25"/>
      <c r="N140" s="25"/>
    </row>
    <row r="141" spans="2:14" ht="15.6" x14ac:dyDescent="0.3">
      <c r="B141" s="31"/>
      <c r="C141" s="31"/>
      <c r="M141" s="25"/>
      <c r="N141" s="25"/>
    </row>
    <row r="142" spans="2:14" ht="15.6" x14ac:dyDescent="0.3">
      <c r="B142" s="31"/>
      <c r="C142" s="31"/>
      <c r="M142" s="25"/>
      <c r="N142" s="25"/>
    </row>
    <row r="143" spans="2:14" ht="15.6" x14ac:dyDescent="0.3">
      <c r="B143" s="31"/>
      <c r="C143" s="31"/>
      <c r="M143" s="25"/>
      <c r="N143" s="25"/>
    </row>
    <row r="144" spans="2:14" ht="15.6" x14ac:dyDescent="0.3">
      <c r="B144" s="31"/>
      <c r="C144" s="31"/>
      <c r="M144" s="25"/>
      <c r="N144" s="25"/>
    </row>
    <row r="145" spans="2:14" ht="15.6" x14ac:dyDescent="0.3">
      <c r="B145" s="31"/>
      <c r="C145" s="31"/>
      <c r="M145" s="25"/>
      <c r="N145" s="25"/>
    </row>
    <row r="146" spans="2:14" ht="15.6" x14ac:dyDescent="0.3">
      <c r="B146" s="31"/>
      <c r="C146" s="31"/>
      <c r="M146" s="25"/>
      <c r="N146" s="25"/>
    </row>
    <row r="147" spans="2:14" ht="15.6" x14ac:dyDescent="0.3">
      <c r="B147" s="31"/>
      <c r="C147" s="31"/>
      <c r="M147" s="25"/>
      <c r="N147" s="25"/>
    </row>
    <row r="148" spans="2:14" ht="15.6" x14ac:dyDescent="0.3">
      <c r="B148" s="31"/>
      <c r="C148" s="31"/>
      <c r="M148" s="25"/>
      <c r="N148" s="25"/>
    </row>
    <row r="149" spans="2:14" ht="15.6" x14ac:dyDescent="0.3">
      <c r="B149" s="31"/>
      <c r="C149" s="31"/>
      <c r="M149" s="25"/>
      <c r="N149" s="25"/>
    </row>
    <row r="150" spans="2:14" ht="15.6" x14ac:dyDescent="0.3">
      <c r="B150" s="31"/>
      <c r="C150" s="31"/>
      <c r="M150" s="25"/>
      <c r="N150" s="25"/>
    </row>
    <row r="151" spans="2:14" ht="15.6" x14ac:dyDescent="0.3">
      <c r="B151" s="31"/>
      <c r="C151" s="31"/>
      <c r="M151" s="25"/>
      <c r="N151" s="25"/>
    </row>
    <row r="152" spans="2:14" ht="15.6" x14ac:dyDescent="0.3">
      <c r="B152" s="31"/>
      <c r="C152" s="31"/>
      <c r="M152" s="25"/>
      <c r="N152" s="25"/>
    </row>
    <row r="153" spans="2:14" ht="15.6" x14ac:dyDescent="0.3">
      <c r="B153" s="31"/>
      <c r="C153" s="31"/>
      <c r="M153" s="25"/>
      <c r="N153" s="25"/>
    </row>
    <row r="154" spans="2:14" ht="15.6" x14ac:dyDescent="0.3">
      <c r="B154" s="31"/>
      <c r="C154" s="31"/>
      <c r="M154" s="25"/>
      <c r="N154" s="25"/>
    </row>
    <row r="155" spans="2:14" ht="15.6" x14ac:dyDescent="0.3">
      <c r="B155" s="31"/>
      <c r="C155" s="31"/>
      <c r="M155" s="25"/>
      <c r="N155" s="25"/>
    </row>
    <row r="156" spans="2:14" ht="15.6" x14ac:dyDescent="0.3">
      <c r="B156" s="31"/>
      <c r="C156" s="31"/>
      <c r="M156" s="25"/>
      <c r="N156" s="25"/>
    </row>
    <row r="157" spans="2:14" ht="15.6" x14ac:dyDescent="0.3">
      <c r="B157" s="31"/>
      <c r="C157" s="31"/>
      <c r="M157" s="25"/>
      <c r="N157" s="25"/>
    </row>
    <row r="158" spans="2:14" ht="15.6" x14ac:dyDescent="0.3">
      <c r="B158" s="31"/>
      <c r="C158" s="31"/>
      <c r="M158" s="25"/>
      <c r="N158" s="25"/>
    </row>
    <row r="159" spans="2:14" ht="15.6" x14ac:dyDescent="0.3">
      <c r="B159" s="31"/>
      <c r="C159" s="31"/>
      <c r="M159" s="25"/>
      <c r="N159" s="25"/>
    </row>
    <row r="160" spans="2:14" ht="15.6" x14ac:dyDescent="0.3">
      <c r="B160" s="31"/>
      <c r="C160" s="31"/>
      <c r="M160" s="25"/>
      <c r="N160" s="25"/>
    </row>
    <row r="161" spans="2:14" ht="15.6" x14ac:dyDescent="0.3">
      <c r="B161" s="31"/>
      <c r="C161" s="31"/>
      <c r="M161" s="25"/>
      <c r="N161" s="25"/>
    </row>
    <row r="162" spans="2:14" ht="15.6" x14ac:dyDescent="0.3">
      <c r="B162" s="31"/>
      <c r="C162" s="31"/>
      <c r="M162" s="25"/>
      <c r="N162" s="25"/>
    </row>
    <row r="163" spans="2:14" ht="15.6" x14ac:dyDescent="0.3">
      <c r="B163" s="31"/>
      <c r="C163" s="31"/>
      <c r="M163" s="25"/>
      <c r="N163" s="25"/>
    </row>
    <row r="164" spans="2:14" ht="15.6" x14ac:dyDescent="0.3">
      <c r="B164" s="31"/>
      <c r="C164" s="31"/>
      <c r="M164" s="25"/>
      <c r="N164" s="25"/>
    </row>
    <row r="165" spans="2:14" ht="15.6" x14ac:dyDescent="0.3">
      <c r="B165" s="31"/>
      <c r="C165" s="31"/>
      <c r="M165" s="25"/>
      <c r="N165" s="25"/>
    </row>
    <row r="166" spans="2:14" ht="15.6" x14ac:dyDescent="0.3">
      <c r="B166" s="31"/>
      <c r="C166" s="31"/>
      <c r="M166" s="25"/>
      <c r="N166" s="25"/>
    </row>
    <row r="167" spans="2:14" ht="15.6" x14ac:dyDescent="0.3">
      <c r="B167" s="31"/>
      <c r="C167" s="31"/>
      <c r="M167" s="25"/>
      <c r="N167" s="25"/>
    </row>
    <row r="168" spans="2:14" ht="15.6" x14ac:dyDescent="0.3">
      <c r="B168" s="31"/>
      <c r="C168" s="31"/>
      <c r="M168" s="25"/>
      <c r="N168" s="25"/>
    </row>
    <row r="169" spans="2:14" ht="15.6" x14ac:dyDescent="0.3">
      <c r="B169" s="31"/>
      <c r="C169" s="31"/>
      <c r="M169" s="25"/>
      <c r="N169" s="25"/>
    </row>
    <row r="170" spans="2:14" ht="15.6" x14ac:dyDescent="0.3">
      <c r="B170" s="31"/>
      <c r="C170" s="31"/>
      <c r="M170" s="25"/>
      <c r="N170" s="25"/>
    </row>
    <row r="171" spans="2:14" ht="15.6" x14ac:dyDescent="0.3">
      <c r="B171" s="31"/>
      <c r="C171" s="31"/>
      <c r="M171" s="25"/>
      <c r="N171" s="25"/>
    </row>
    <row r="172" spans="2:14" ht="15.6" x14ac:dyDescent="0.3">
      <c r="B172" s="31"/>
      <c r="C172" s="31"/>
      <c r="M172" s="25"/>
      <c r="N172" s="25"/>
    </row>
    <row r="173" spans="2:14" ht="15.6" x14ac:dyDescent="0.3">
      <c r="B173" s="31"/>
      <c r="C173" s="31"/>
      <c r="M173" s="25"/>
      <c r="N173" s="25"/>
    </row>
    <row r="174" spans="2:14" ht="15.6" x14ac:dyDescent="0.3">
      <c r="B174" s="31"/>
      <c r="C174" s="31"/>
      <c r="M174" s="25"/>
      <c r="N174" s="25"/>
    </row>
    <row r="175" spans="2:14" ht="15.6" x14ac:dyDescent="0.3">
      <c r="B175" s="31"/>
      <c r="C175" s="31"/>
      <c r="M175" s="25"/>
      <c r="N175" s="25"/>
    </row>
    <row r="176" spans="2:14" ht="15.6" x14ac:dyDescent="0.3">
      <c r="B176" s="31"/>
      <c r="C176" s="31"/>
      <c r="M176" s="25"/>
      <c r="N176" s="25"/>
    </row>
    <row r="177" spans="2:14" ht="15.6" x14ac:dyDescent="0.3">
      <c r="B177" s="31"/>
      <c r="C177" s="31"/>
      <c r="M177" s="25"/>
      <c r="N177" s="25"/>
    </row>
    <row r="178" spans="2:14" ht="15.6" x14ac:dyDescent="0.3">
      <c r="B178" s="31"/>
      <c r="C178" s="31"/>
      <c r="M178" s="25"/>
      <c r="N178" s="25"/>
    </row>
    <row r="179" spans="2:14" ht="15.6" x14ac:dyDescent="0.3">
      <c r="B179" s="31"/>
      <c r="C179" s="31"/>
      <c r="M179" s="25"/>
      <c r="N179" s="25"/>
    </row>
    <row r="180" spans="2:14" ht="15.6" x14ac:dyDescent="0.3">
      <c r="B180" s="31"/>
      <c r="C180" s="31"/>
      <c r="M180" s="25"/>
      <c r="N180" s="25"/>
    </row>
    <row r="181" spans="2:14" ht="15.6" x14ac:dyDescent="0.3">
      <c r="B181" s="31"/>
      <c r="C181" s="31"/>
      <c r="M181" s="25"/>
      <c r="N181" s="25"/>
    </row>
    <row r="182" spans="2:14" ht="15.6" x14ac:dyDescent="0.3">
      <c r="B182" s="31"/>
      <c r="C182" s="31"/>
      <c r="M182" s="25"/>
      <c r="N182" s="25"/>
    </row>
    <row r="183" spans="2:14" ht="15.6" x14ac:dyDescent="0.3">
      <c r="B183" s="31"/>
      <c r="C183" s="31"/>
      <c r="M183" s="25"/>
      <c r="N183" s="25"/>
    </row>
    <row r="184" spans="2:14" ht="15.6" x14ac:dyDescent="0.3">
      <c r="B184" s="31"/>
      <c r="C184" s="31"/>
      <c r="M184" s="25"/>
      <c r="N184" s="25"/>
    </row>
    <row r="185" spans="2:14" ht="15.6" x14ac:dyDescent="0.3">
      <c r="B185" s="31"/>
      <c r="C185" s="31"/>
      <c r="M185" s="25"/>
      <c r="N185" s="25"/>
    </row>
    <row r="186" spans="2:14" ht="15.6" x14ac:dyDescent="0.3">
      <c r="B186" s="31"/>
      <c r="C186" s="31"/>
      <c r="M186" s="25"/>
      <c r="N186" s="25"/>
    </row>
    <row r="187" spans="2:14" ht="15.6" x14ac:dyDescent="0.3">
      <c r="B187" s="31"/>
      <c r="C187" s="31"/>
      <c r="M187" s="25"/>
      <c r="N187" s="25"/>
    </row>
    <row r="188" spans="2:14" ht="15.6" x14ac:dyDescent="0.3">
      <c r="B188" s="31"/>
      <c r="C188" s="31"/>
      <c r="M188" s="25"/>
      <c r="N188" s="25"/>
    </row>
    <row r="189" spans="2:14" ht="15.6" x14ac:dyDescent="0.3">
      <c r="B189" s="31"/>
      <c r="C189" s="31"/>
      <c r="M189" s="25"/>
      <c r="N189" s="25"/>
    </row>
    <row r="190" spans="2:14" ht="15.6" x14ac:dyDescent="0.3">
      <c r="B190" s="31"/>
      <c r="C190" s="31"/>
      <c r="M190" s="25"/>
      <c r="N190" s="25"/>
    </row>
    <row r="191" spans="2:14" ht="15.6" x14ac:dyDescent="0.3">
      <c r="B191" s="31"/>
      <c r="C191" s="31"/>
      <c r="M191" s="25"/>
      <c r="N191" s="25"/>
    </row>
    <row r="192" spans="2:14" ht="15.6" x14ac:dyDescent="0.3">
      <c r="B192" s="31"/>
      <c r="C192" s="31"/>
      <c r="M192" s="25"/>
      <c r="N192" s="25"/>
    </row>
    <row r="193" spans="2:14" ht="15.6" x14ac:dyDescent="0.3">
      <c r="B193" s="31"/>
      <c r="C193" s="31"/>
      <c r="M193" s="25"/>
      <c r="N193" s="25"/>
    </row>
    <row r="194" spans="2:14" ht="15.6" x14ac:dyDescent="0.3">
      <c r="B194" s="31"/>
      <c r="C194" s="31"/>
      <c r="M194" s="25"/>
      <c r="N194" s="25"/>
    </row>
    <row r="195" spans="2:14" ht="15.6" x14ac:dyDescent="0.3">
      <c r="B195" s="31"/>
      <c r="C195" s="31"/>
      <c r="M195" s="25"/>
      <c r="N195" s="25"/>
    </row>
    <row r="196" spans="2:14" ht="15.6" x14ac:dyDescent="0.3">
      <c r="B196" s="31"/>
      <c r="C196" s="31"/>
      <c r="M196" s="25"/>
      <c r="N196" s="25"/>
    </row>
    <row r="197" spans="2:14" ht="15.6" x14ac:dyDescent="0.3">
      <c r="B197" s="31"/>
      <c r="C197" s="31"/>
      <c r="M197" s="25"/>
      <c r="N197" s="25"/>
    </row>
    <row r="198" spans="2:14" ht="15.6" x14ac:dyDescent="0.3">
      <c r="B198" s="31"/>
      <c r="C198" s="31"/>
      <c r="M198" s="25"/>
      <c r="N198" s="25"/>
    </row>
    <row r="199" spans="2:14" ht="15.6" x14ac:dyDescent="0.3">
      <c r="B199" s="31"/>
      <c r="C199" s="31"/>
      <c r="M199" s="25"/>
      <c r="N199" s="25"/>
    </row>
    <row r="200" spans="2:14" ht="15.6" x14ac:dyDescent="0.3">
      <c r="B200" s="31"/>
      <c r="C200" s="31"/>
      <c r="M200" s="25"/>
      <c r="N200" s="25"/>
    </row>
    <row r="201" spans="2:14" ht="15.6" x14ac:dyDescent="0.3">
      <c r="B201" s="31"/>
      <c r="C201" s="31"/>
      <c r="M201" s="25"/>
      <c r="N201" s="25"/>
    </row>
    <row r="202" spans="2:14" ht="15.6" x14ac:dyDescent="0.3">
      <c r="B202" s="31"/>
      <c r="C202" s="31"/>
      <c r="M202" s="25"/>
      <c r="N202" s="25"/>
    </row>
    <row r="203" spans="2:14" ht="15.6" x14ac:dyDescent="0.3">
      <c r="B203" s="31"/>
      <c r="C203" s="31"/>
      <c r="M203" s="25"/>
      <c r="N203" s="25"/>
    </row>
    <row r="204" spans="2:14" ht="15.6" x14ac:dyDescent="0.3">
      <c r="B204" s="31"/>
      <c r="C204" s="31"/>
      <c r="M204" s="25"/>
      <c r="N204" s="25"/>
    </row>
    <row r="205" spans="2:14" ht="15.6" x14ac:dyDescent="0.3">
      <c r="B205" s="31"/>
      <c r="C205" s="31"/>
      <c r="M205" s="25"/>
      <c r="N205" s="25"/>
    </row>
    <row r="206" spans="2:14" ht="15.6" x14ac:dyDescent="0.3">
      <c r="B206" s="31"/>
      <c r="C206" s="31"/>
      <c r="M206" s="25"/>
      <c r="N206" s="25"/>
    </row>
    <row r="207" spans="2:14" ht="15.6" x14ac:dyDescent="0.3">
      <c r="B207" s="31"/>
      <c r="C207" s="31"/>
      <c r="M207" s="25"/>
      <c r="N207" s="25"/>
    </row>
    <row r="208" spans="2:14" ht="15.6" x14ac:dyDescent="0.3">
      <c r="B208" s="31"/>
      <c r="C208" s="31"/>
      <c r="M208" s="25"/>
      <c r="N208" s="25"/>
    </row>
    <row r="209" spans="2:14" ht="15.6" x14ac:dyDescent="0.3">
      <c r="B209" s="31"/>
      <c r="C209" s="31"/>
      <c r="M209" s="25"/>
      <c r="N209" s="25"/>
    </row>
    <row r="210" spans="2:14" ht="15.6" x14ac:dyDescent="0.3">
      <c r="B210" s="31"/>
      <c r="C210" s="31"/>
      <c r="M210" s="25"/>
      <c r="N210" s="25"/>
    </row>
    <row r="211" spans="2:14" ht="15.6" x14ac:dyDescent="0.3">
      <c r="B211" s="31"/>
      <c r="C211" s="31"/>
      <c r="M211" s="25"/>
      <c r="N211" s="25"/>
    </row>
    <row r="212" spans="2:14" ht="15.6" x14ac:dyDescent="0.3">
      <c r="B212" s="31"/>
      <c r="C212" s="31"/>
      <c r="M212" s="25"/>
      <c r="N212" s="25"/>
    </row>
    <row r="213" spans="2:14" ht="15.6" x14ac:dyDescent="0.3">
      <c r="B213" s="31"/>
      <c r="C213" s="31"/>
      <c r="M213" s="25"/>
      <c r="N213" s="25"/>
    </row>
    <row r="214" spans="2:14" ht="15.6" x14ac:dyDescent="0.3">
      <c r="B214" s="31"/>
      <c r="C214" s="31"/>
      <c r="M214" s="25"/>
      <c r="N214" s="25"/>
    </row>
    <row r="215" spans="2:14" ht="15.6" x14ac:dyDescent="0.3">
      <c r="B215" s="31"/>
      <c r="C215" s="31"/>
      <c r="M215" s="25"/>
      <c r="N215" s="25"/>
    </row>
    <row r="216" spans="2:14" ht="15.6" x14ac:dyDescent="0.3">
      <c r="B216" s="31"/>
      <c r="C216" s="31"/>
      <c r="M216" s="25"/>
      <c r="N216" s="25"/>
    </row>
    <row r="217" spans="2:14" ht="15.6" x14ac:dyDescent="0.3">
      <c r="B217" s="31"/>
      <c r="C217" s="31"/>
      <c r="M217" s="25"/>
      <c r="N217" s="25"/>
    </row>
    <row r="218" spans="2:14" ht="15.6" x14ac:dyDescent="0.3">
      <c r="B218" s="31"/>
      <c r="C218" s="31"/>
      <c r="M218" s="25"/>
      <c r="N218" s="25"/>
    </row>
    <row r="219" spans="2:14" ht="15.6" x14ac:dyDescent="0.3">
      <c r="B219" s="31"/>
      <c r="C219" s="31"/>
      <c r="M219" s="25"/>
      <c r="N219" s="25"/>
    </row>
    <row r="220" spans="2:14" ht="15.6" x14ac:dyDescent="0.3">
      <c r="B220" s="31"/>
      <c r="C220" s="31"/>
      <c r="M220" s="25"/>
      <c r="N220" s="25"/>
    </row>
    <row r="221" spans="2:14" ht="15.6" x14ac:dyDescent="0.3">
      <c r="B221" s="31"/>
      <c r="C221" s="31"/>
      <c r="M221" s="25"/>
      <c r="N221" s="25"/>
    </row>
    <row r="222" spans="2:14" ht="15.6" x14ac:dyDescent="0.3">
      <c r="B222" s="31"/>
      <c r="C222" s="31"/>
      <c r="M222" s="25"/>
      <c r="N222" s="25"/>
    </row>
    <row r="223" spans="2:14" ht="15.6" x14ac:dyDescent="0.3">
      <c r="B223" s="31"/>
      <c r="C223" s="31"/>
      <c r="M223" s="25"/>
      <c r="N223" s="25"/>
    </row>
    <row r="224" spans="2:14" ht="15.6" x14ac:dyDescent="0.3">
      <c r="B224" s="31"/>
      <c r="C224" s="31"/>
      <c r="M224" s="25"/>
      <c r="N224" s="25"/>
    </row>
    <row r="225" spans="2:14" ht="15.6" x14ac:dyDescent="0.3">
      <c r="B225" s="31"/>
      <c r="C225" s="31"/>
      <c r="M225" s="25"/>
      <c r="N225" s="25"/>
    </row>
    <row r="226" spans="2:14" ht="15.6" x14ac:dyDescent="0.3">
      <c r="B226" s="31"/>
      <c r="C226" s="31"/>
      <c r="M226" s="25"/>
      <c r="N226" s="25"/>
    </row>
    <row r="227" spans="2:14" ht="15.6" x14ac:dyDescent="0.3">
      <c r="B227" s="31"/>
      <c r="C227" s="31"/>
      <c r="M227" s="25"/>
      <c r="N227" s="25"/>
    </row>
    <row r="228" spans="2:14" ht="15.6" x14ac:dyDescent="0.3">
      <c r="B228" s="31"/>
      <c r="C228" s="31"/>
      <c r="M228" s="25"/>
      <c r="N228" s="25"/>
    </row>
    <row r="229" spans="2:14" ht="15.6" x14ac:dyDescent="0.3">
      <c r="B229" s="31"/>
      <c r="C229" s="31"/>
      <c r="M229" s="25"/>
      <c r="N229" s="25"/>
    </row>
    <row r="230" spans="2:14" ht="15.6" x14ac:dyDescent="0.3">
      <c r="B230" s="31"/>
      <c r="C230" s="31"/>
      <c r="M230" s="25"/>
      <c r="N230" s="25"/>
    </row>
    <row r="231" spans="2:14" ht="15.6" x14ac:dyDescent="0.3">
      <c r="B231" s="31"/>
      <c r="C231" s="31"/>
      <c r="M231" s="25"/>
      <c r="N231" s="25"/>
    </row>
    <row r="232" spans="2:14" ht="15.6" x14ac:dyDescent="0.3">
      <c r="B232" s="31"/>
      <c r="C232" s="31"/>
      <c r="M232" s="25"/>
      <c r="N232" s="25"/>
    </row>
    <row r="233" spans="2:14" ht="15.6" x14ac:dyDescent="0.3">
      <c r="B233" s="31"/>
      <c r="C233" s="31"/>
      <c r="M233" s="25"/>
      <c r="N233" s="25"/>
    </row>
    <row r="234" spans="2:14" ht="15.6" x14ac:dyDescent="0.3">
      <c r="B234" s="31"/>
      <c r="C234" s="31"/>
      <c r="M234" s="25"/>
      <c r="N234" s="25"/>
    </row>
    <row r="235" spans="2:14" ht="15.6" x14ac:dyDescent="0.3">
      <c r="B235" s="31"/>
      <c r="C235" s="31"/>
      <c r="M235" s="25"/>
      <c r="N235" s="25"/>
    </row>
    <row r="236" spans="2:14" ht="15.6" x14ac:dyDescent="0.3">
      <c r="B236" s="31"/>
      <c r="C236" s="31"/>
      <c r="M236" s="25"/>
      <c r="N236" s="25"/>
    </row>
    <row r="237" spans="2:14" ht="15.6" x14ac:dyDescent="0.3">
      <c r="B237" s="31"/>
      <c r="C237" s="31"/>
      <c r="M237" s="25"/>
      <c r="N237" s="25"/>
    </row>
    <row r="238" spans="2:14" ht="15.6" x14ac:dyDescent="0.3">
      <c r="B238" s="31"/>
      <c r="C238" s="31"/>
      <c r="M238" s="25"/>
      <c r="N238" s="25"/>
    </row>
    <row r="239" spans="2:14" ht="15.6" x14ac:dyDescent="0.3">
      <c r="B239" s="31"/>
      <c r="C239" s="31"/>
      <c r="M239" s="25"/>
      <c r="N239" s="25"/>
    </row>
    <row r="240" spans="2:14" ht="15.6" x14ac:dyDescent="0.3">
      <c r="B240" s="31"/>
      <c r="C240" s="31"/>
      <c r="M240" s="25"/>
      <c r="N240" s="25"/>
    </row>
    <row r="241" spans="2:14" ht="15.6" x14ac:dyDescent="0.3">
      <c r="B241" s="31"/>
      <c r="C241" s="31"/>
      <c r="M241" s="25"/>
      <c r="N241" s="25"/>
    </row>
    <row r="242" spans="2:14" ht="15.6" x14ac:dyDescent="0.3">
      <c r="B242" s="31"/>
      <c r="C242" s="31"/>
      <c r="M242" s="25"/>
      <c r="N242" s="25"/>
    </row>
    <row r="243" spans="2:14" ht="15.6" x14ac:dyDescent="0.3">
      <c r="B243" s="31"/>
      <c r="C243" s="31"/>
      <c r="M243" s="25"/>
      <c r="N243" s="25"/>
    </row>
    <row r="244" spans="2:14" ht="15.6" x14ac:dyDescent="0.3">
      <c r="B244" s="31"/>
      <c r="C244" s="31"/>
      <c r="M244" s="25"/>
      <c r="N244" s="25"/>
    </row>
    <row r="245" spans="2:14" ht="15.6" x14ac:dyDescent="0.3">
      <c r="B245" s="31"/>
      <c r="C245" s="31"/>
      <c r="M245" s="25"/>
      <c r="N245" s="25"/>
    </row>
    <row r="246" spans="2:14" ht="15.6" x14ac:dyDescent="0.3">
      <c r="B246" s="31"/>
      <c r="C246" s="31"/>
      <c r="M246" s="25"/>
      <c r="N246" s="25"/>
    </row>
    <row r="247" spans="2:14" ht="15.6" x14ac:dyDescent="0.3">
      <c r="B247" s="31"/>
      <c r="C247" s="31"/>
      <c r="M247" s="25"/>
      <c r="N247" s="25"/>
    </row>
    <row r="248" spans="2:14" ht="15.6" x14ac:dyDescent="0.3">
      <c r="B248" s="31"/>
      <c r="C248" s="31"/>
      <c r="M248" s="25"/>
      <c r="N248" s="25"/>
    </row>
    <row r="249" spans="2:14" ht="15.6" x14ac:dyDescent="0.3">
      <c r="B249" s="31"/>
      <c r="C249" s="31"/>
      <c r="M249" s="25"/>
      <c r="N249" s="25"/>
    </row>
    <row r="250" spans="2:14" ht="15.6" x14ac:dyDescent="0.3">
      <c r="B250" s="31"/>
      <c r="C250" s="31"/>
      <c r="M250" s="25"/>
      <c r="N250" s="25"/>
    </row>
    <row r="251" spans="2:14" ht="15.6" x14ac:dyDescent="0.3">
      <c r="B251" s="31"/>
      <c r="C251" s="31"/>
      <c r="M251" s="25"/>
      <c r="N251" s="25"/>
    </row>
    <row r="252" spans="2:14" ht="15.6" x14ac:dyDescent="0.3">
      <c r="B252" s="31"/>
      <c r="C252" s="31"/>
      <c r="M252" s="25"/>
      <c r="N252" s="25"/>
    </row>
    <row r="253" spans="2:14" ht="15.6" x14ac:dyDescent="0.3">
      <c r="B253" s="31"/>
      <c r="C253" s="31"/>
      <c r="M253" s="25"/>
      <c r="N253" s="25"/>
    </row>
    <row r="254" spans="2:14" ht="15.6" x14ac:dyDescent="0.3">
      <c r="B254" s="31"/>
      <c r="C254" s="31"/>
      <c r="M254" s="25"/>
      <c r="N254" s="25"/>
    </row>
    <row r="255" spans="2:14" ht="15.6" x14ac:dyDescent="0.3">
      <c r="B255" s="31"/>
      <c r="C255" s="31"/>
      <c r="M255" s="25"/>
      <c r="N255" s="25"/>
    </row>
    <row r="256" spans="2:14" ht="15.6" x14ac:dyDescent="0.3">
      <c r="B256" s="31"/>
      <c r="C256" s="31"/>
      <c r="M256" s="25"/>
      <c r="N256" s="25"/>
    </row>
    <row r="257" spans="2:14" ht="15.6" x14ac:dyDescent="0.3">
      <c r="B257" s="31"/>
      <c r="C257" s="31"/>
      <c r="M257" s="25"/>
      <c r="N257" s="25"/>
    </row>
    <row r="258" spans="2:14" ht="15.6" x14ac:dyDescent="0.3">
      <c r="B258" s="31"/>
      <c r="C258" s="31"/>
      <c r="M258" s="25"/>
      <c r="N258" s="25"/>
    </row>
    <row r="259" spans="2:14" ht="15.6" x14ac:dyDescent="0.3">
      <c r="B259" s="31"/>
      <c r="C259" s="31"/>
      <c r="M259" s="25"/>
      <c r="N259" s="25"/>
    </row>
    <row r="260" spans="2:14" ht="15.6" x14ac:dyDescent="0.3">
      <c r="B260" s="31"/>
      <c r="C260" s="31"/>
      <c r="M260" s="25"/>
      <c r="N260" s="25"/>
    </row>
    <row r="261" spans="2:14" ht="15.6" x14ac:dyDescent="0.3">
      <c r="B261" s="31"/>
      <c r="C261" s="31"/>
      <c r="M261" s="25"/>
      <c r="N261" s="25"/>
    </row>
    <row r="262" spans="2:14" ht="15.6" x14ac:dyDescent="0.3">
      <c r="B262" s="31"/>
      <c r="C262" s="31"/>
      <c r="M262" s="25"/>
      <c r="N262" s="25"/>
    </row>
    <row r="263" spans="2:14" ht="15.6" x14ac:dyDescent="0.3">
      <c r="B263" s="31"/>
      <c r="C263" s="31"/>
      <c r="M263" s="25"/>
      <c r="N263" s="25"/>
    </row>
    <row r="264" spans="2:14" ht="15.6" x14ac:dyDescent="0.3">
      <c r="B264" s="31"/>
      <c r="C264" s="31"/>
      <c r="M264" s="25"/>
      <c r="N264" s="25"/>
    </row>
    <row r="265" spans="2:14" ht="15.6" x14ac:dyDescent="0.3">
      <c r="B265" s="31"/>
      <c r="C265" s="31"/>
      <c r="M265" s="25"/>
      <c r="N265" s="25"/>
    </row>
    <row r="266" spans="2:14" ht="15.6" x14ac:dyDescent="0.3">
      <c r="B266" s="31"/>
      <c r="C266" s="31"/>
      <c r="M266" s="25"/>
      <c r="N266" s="25"/>
    </row>
    <row r="267" spans="2:14" ht="15.6" x14ac:dyDescent="0.3">
      <c r="B267" s="31"/>
      <c r="C267" s="31"/>
      <c r="M267" s="25"/>
      <c r="N267" s="25"/>
    </row>
    <row r="268" spans="2:14" ht="15.6" x14ac:dyDescent="0.3">
      <c r="B268" s="31"/>
      <c r="C268" s="31"/>
      <c r="M268" s="25"/>
      <c r="N268" s="25"/>
    </row>
    <row r="269" spans="2:14" ht="15.6" x14ac:dyDescent="0.3">
      <c r="B269" s="31"/>
      <c r="C269" s="31"/>
      <c r="M269" s="25"/>
      <c r="N269" s="25"/>
    </row>
    <row r="270" spans="2:14" ht="15.6" x14ac:dyDescent="0.3">
      <c r="B270" s="31"/>
      <c r="C270" s="31"/>
      <c r="M270" s="25"/>
      <c r="N270" s="25"/>
    </row>
    <row r="271" spans="2:14" ht="15.6" x14ac:dyDescent="0.3">
      <c r="B271" s="31"/>
      <c r="C271" s="31"/>
      <c r="M271" s="25"/>
      <c r="N271" s="25"/>
    </row>
    <row r="272" spans="2:14" ht="15.6" x14ac:dyDescent="0.3">
      <c r="B272" s="31"/>
      <c r="C272" s="31"/>
      <c r="M272" s="25"/>
      <c r="N272" s="25"/>
    </row>
    <row r="273" spans="2:14" ht="15.6" x14ac:dyDescent="0.3">
      <c r="B273" s="31"/>
      <c r="C273" s="31"/>
      <c r="M273" s="25"/>
      <c r="N273" s="25"/>
    </row>
    <row r="274" spans="2:14" ht="15.6" x14ac:dyDescent="0.3">
      <c r="B274" s="31"/>
      <c r="C274" s="31"/>
      <c r="M274" s="25"/>
      <c r="N274" s="25"/>
    </row>
    <row r="275" spans="2:14" ht="15.6" x14ac:dyDescent="0.3">
      <c r="B275" s="31"/>
      <c r="C275" s="31"/>
      <c r="M275" s="25"/>
      <c r="N275" s="25"/>
    </row>
    <row r="276" spans="2:14" ht="15.6" x14ac:dyDescent="0.3">
      <c r="B276" s="31"/>
      <c r="C276" s="31"/>
      <c r="M276" s="25"/>
      <c r="N276" s="25"/>
    </row>
    <row r="277" spans="2:14" ht="15.6" x14ac:dyDescent="0.3">
      <c r="B277" s="31"/>
      <c r="C277" s="31"/>
      <c r="M277" s="25"/>
      <c r="N277" s="25"/>
    </row>
    <row r="278" spans="2:14" ht="15.6" x14ac:dyDescent="0.3">
      <c r="B278" s="31"/>
      <c r="C278" s="31"/>
      <c r="M278" s="25"/>
      <c r="N278" s="25"/>
    </row>
    <row r="279" spans="2:14" ht="15.6" x14ac:dyDescent="0.3">
      <c r="B279" s="31"/>
      <c r="C279" s="31"/>
      <c r="M279" s="25"/>
      <c r="N279" s="25"/>
    </row>
    <row r="280" spans="2:14" ht="15.6" x14ac:dyDescent="0.3">
      <c r="B280" s="31"/>
      <c r="C280" s="31"/>
      <c r="M280" s="25"/>
      <c r="N280" s="25"/>
    </row>
    <row r="281" spans="2:14" ht="15.6" x14ac:dyDescent="0.3">
      <c r="B281" s="31"/>
      <c r="C281" s="31"/>
      <c r="M281" s="25"/>
      <c r="N281" s="25"/>
    </row>
    <row r="282" spans="2:14" ht="15.6" x14ac:dyDescent="0.3">
      <c r="B282" s="31"/>
      <c r="C282" s="31"/>
      <c r="M282" s="25"/>
      <c r="N282" s="25"/>
    </row>
    <row r="283" spans="2:14" ht="15.6" x14ac:dyDescent="0.3">
      <c r="B283" s="31"/>
      <c r="C283" s="31"/>
      <c r="M283" s="25"/>
      <c r="N283" s="25"/>
    </row>
    <row r="284" spans="2:14" ht="15.6" x14ac:dyDescent="0.3">
      <c r="B284" s="31"/>
      <c r="C284" s="31"/>
      <c r="M284" s="25"/>
      <c r="N284" s="25"/>
    </row>
    <row r="285" spans="2:14" ht="15.6" x14ac:dyDescent="0.3">
      <c r="B285" s="31"/>
      <c r="C285" s="31"/>
      <c r="M285" s="25"/>
      <c r="N285" s="25"/>
    </row>
    <row r="286" spans="2:14" ht="15.6" x14ac:dyDescent="0.3">
      <c r="B286" s="31"/>
      <c r="C286" s="31"/>
      <c r="M286" s="25"/>
      <c r="N286" s="25"/>
    </row>
    <row r="287" spans="2:14" ht="15.6" x14ac:dyDescent="0.3">
      <c r="B287" s="31"/>
      <c r="C287" s="31"/>
      <c r="M287" s="25"/>
      <c r="N287" s="25"/>
    </row>
    <row r="288" spans="2:14" ht="15.6" x14ac:dyDescent="0.3">
      <c r="B288" s="31"/>
      <c r="C288" s="31"/>
      <c r="M288" s="25"/>
      <c r="N288" s="25"/>
    </row>
    <row r="289" spans="2:14" ht="15.6" x14ac:dyDescent="0.3">
      <c r="B289" s="31"/>
      <c r="C289" s="31"/>
      <c r="M289" s="25"/>
      <c r="N289" s="25"/>
    </row>
    <row r="290" spans="2:14" ht="15.6" x14ac:dyDescent="0.3">
      <c r="B290" s="31"/>
      <c r="C290" s="31"/>
      <c r="M290" s="25"/>
      <c r="N290" s="25"/>
    </row>
    <row r="291" spans="2:14" ht="15.6" x14ac:dyDescent="0.3">
      <c r="B291" s="31"/>
      <c r="C291" s="31"/>
      <c r="M291" s="25"/>
      <c r="N291" s="25"/>
    </row>
    <row r="292" spans="2:14" ht="15.6" x14ac:dyDescent="0.3">
      <c r="B292" s="31"/>
      <c r="C292" s="31"/>
      <c r="M292" s="25"/>
      <c r="N292" s="25"/>
    </row>
    <row r="293" spans="2:14" ht="15.6" x14ac:dyDescent="0.3">
      <c r="B293" s="31"/>
      <c r="C293" s="31"/>
      <c r="M293" s="25"/>
      <c r="N293" s="25"/>
    </row>
    <row r="294" spans="2:14" ht="15.6" x14ac:dyDescent="0.3">
      <c r="B294" s="31"/>
      <c r="C294" s="31"/>
      <c r="M294" s="25"/>
      <c r="N294" s="25"/>
    </row>
    <row r="295" spans="2:14" ht="15.6" x14ac:dyDescent="0.3">
      <c r="B295" s="31"/>
      <c r="C295" s="31"/>
      <c r="M295" s="25"/>
      <c r="N295" s="25"/>
    </row>
    <row r="296" spans="2:14" ht="15.6" x14ac:dyDescent="0.3">
      <c r="B296" s="31"/>
      <c r="C296" s="31"/>
      <c r="M296" s="25"/>
      <c r="N296" s="25"/>
    </row>
    <row r="297" spans="2:14" ht="15.6" x14ac:dyDescent="0.3">
      <c r="B297" s="31"/>
      <c r="C297" s="31"/>
      <c r="M297" s="25"/>
      <c r="N297" s="25"/>
    </row>
    <row r="298" spans="2:14" ht="15.6" x14ac:dyDescent="0.3">
      <c r="B298" s="31"/>
      <c r="C298" s="31"/>
      <c r="M298" s="25"/>
      <c r="N298" s="25"/>
    </row>
    <row r="299" spans="2:14" ht="15.6" x14ac:dyDescent="0.3">
      <c r="B299" s="31"/>
      <c r="C299" s="31"/>
      <c r="M299" s="25"/>
      <c r="N299" s="25"/>
    </row>
    <row r="300" spans="2:14" ht="15.6" x14ac:dyDescent="0.3">
      <c r="B300" s="31"/>
      <c r="C300" s="31"/>
      <c r="M300" s="25"/>
      <c r="N300" s="25"/>
    </row>
    <row r="301" spans="2:14" ht="15.6" x14ac:dyDescent="0.3">
      <c r="B301" s="31"/>
      <c r="C301" s="31"/>
      <c r="M301" s="25"/>
      <c r="N301" s="25"/>
    </row>
    <row r="302" spans="2:14" ht="15.6" x14ac:dyDescent="0.3">
      <c r="B302" s="31"/>
      <c r="C302" s="31"/>
      <c r="M302" s="25"/>
      <c r="N302" s="25"/>
    </row>
    <row r="303" spans="2:14" ht="15.6" x14ac:dyDescent="0.3">
      <c r="B303" s="31"/>
      <c r="C303" s="31"/>
      <c r="M303" s="25"/>
      <c r="N303" s="25"/>
    </row>
    <row r="304" spans="2:14" ht="15.6" x14ac:dyDescent="0.3">
      <c r="B304" s="31"/>
      <c r="C304" s="31"/>
      <c r="M304" s="25"/>
      <c r="N304" s="25"/>
    </row>
    <row r="305" spans="2:14" ht="15.6" x14ac:dyDescent="0.3">
      <c r="B305" s="31"/>
      <c r="C305" s="31"/>
      <c r="M305" s="25"/>
      <c r="N305" s="25"/>
    </row>
    <row r="306" spans="2:14" ht="15.6" x14ac:dyDescent="0.3">
      <c r="B306" s="31"/>
      <c r="C306" s="31"/>
      <c r="M306" s="25"/>
      <c r="N306" s="25"/>
    </row>
    <row r="307" spans="2:14" ht="15.6" x14ac:dyDescent="0.3">
      <c r="B307" s="31"/>
      <c r="C307" s="31"/>
      <c r="M307" s="25"/>
      <c r="N307" s="25"/>
    </row>
    <row r="308" spans="2:14" ht="15.6" x14ac:dyDescent="0.3">
      <c r="B308" s="31"/>
      <c r="C308" s="31"/>
      <c r="M308" s="25"/>
      <c r="N308" s="25"/>
    </row>
    <row r="309" spans="2:14" ht="15.6" x14ac:dyDescent="0.3">
      <c r="B309" s="31"/>
      <c r="C309" s="31"/>
      <c r="M309" s="25"/>
      <c r="N309" s="25"/>
    </row>
    <row r="310" spans="2:14" ht="15.6" x14ac:dyDescent="0.3">
      <c r="B310" s="31"/>
      <c r="C310" s="31"/>
      <c r="M310" s="25"/>
      <c r="N310" s="25"/>
    </row>
    <row r="311" spans="2:14" ht="15.6" x14ac:dyDescent="0.3">
      <c r="B311" s="31"/>
      <c r="C311" s="31"/>
      <c r="M311" s="25"/>
      <c r="N311" s="25"/>
    </row>
    <row r="312" spans="2:14" ht="15.6" x14ac:dyDescent="0.3">
      <c r="B312" s="31"/>
      <c r="C312" s="31"/>
      <c r="M312" s="25"/>
      <c r="N312" s="25"/>
    </row>
    <row r="313" spans="2:14" ht="15.6" x14ac:dyDescent="0.3">
      <c r="B313" s="31"/>
      <c r="C313" s="31"/>
      <c r="M313" s="25"/>
      <c r="N313" s="25"/>
    </row>
    <row r="314" spans="2:14" ht="15.6" x14ac:dyDescent="0.3">
      <c r="B314" s="31"/>
      <c r="C314" s="31"/>
      <c r="M314" s="25"/>
      <c r="N314" s="25"/>
    </row>
    <row r="315" spans="2:14" ht="15.6" x14ac:dyDescent="0.3">
      <c r="B315" s="31"/>
      <c r="C315" s="31"/>
      <c r="M315" s="25"/>
      <c r="N315" s="25"/>
    </row>
    <row r="316" spans="2:14" ht="15.6" x14ac:dyDescent="0.3">
      <c r="B316" s="31"/>
      <c r="C316" s="31"/>
      <c r="M316" s="25"/>
      <c r="N316" s="25"/>
    </row>
    <row r="317" spans="2:14" ht="15.6" x14ac:dyDescent="0.3">
      <c r="B317" s="31"/>
      <c r="C317" s="31"/>
      <c r="M317" s="25"/>
      <c r="N317" s="25"/>
    </row>
    <row r="318" spans="2:14" ht="15.6" x14ac:dyDescent="0.3">
      <c r="B318" s="31"/>
      <c r="C318" s="31"/>
      <c r="M318" s="25"/>
      <c r="N318" s="25"/>
    </row>
    <row r="319" spans="2:14" ht="15.6" x14ac:dyDescent="0.3">
      <c r="B319" s="31"/>
      <c r="C319" s="31"/>
      <c r="M319" s="25"/>
      <c r="N319" s="25"/>
    </row>
    <row r="320" spans="2:14" ht="15.6" x14ac:dyDescent="0.3">
      <c r="B320" s="31"/>
      <c r="C320" s="31"/>
      <c r="M320" s="25"/>
      <c r="N320" s="25"/>
    </row>
    <row r="321" spans="2:14" ht="15.6" x14ac:dyDescent="0.3">
      <c r="B321" s="31"/>
      <c r="C321" s="31"/>
      <c r="M321" s="25"/>
      <c r="N321" s="25"/>
    </row>
    <row r="322" spans="2:14" ht="15.6" x14ac:dyDescent="0.3">
      <c r="B322" s="31"/>
      <c r="C322" s="31"/>
      <c r="M322" s="25"/>
      <c r="N322" s="25"/>
    </row>
    <row r="323" spans="2:14" ht="15.6" x14ac:dyDescent="0.3">
      <c r="B323" s="31"/>
      <c r="C323" s="31"/>
      <c r="M323" s="25"/>
      <c r="N323" s="25"/>
    </row>
    <row r="324" spans="2:14" ht="15.6" x14ac:dyDescent="0.3">
      <c r="B324" s="31"/>
      <c r="C324" s="31"/>
      <c r="M324" s="25"/>
      <c r="N324" s="25"/>
    </row>
    <row r="325" spans="2:14" ht="15.6" x14ac:dyDescent="0.3">
      <c r="B325" s="31"/>
      <c r="C325" s="31"/>
      <c r="M325" s="25"/>
      <c r="N325" s="25"/>
    </row>
    <row r="326" spans="2:14" ht="15.6" x14ac:dyDescent="0.3">
      <c r="B326" s="31"/>
      <c r="C326" s="31"/>
      <c r="M326" s="25"/>
      <c r="N326" s="25"/>
    </row>
    <row r="327" spans="2:14" ht="15.6" x14ac:dyDescent="0.3">
      <c r="B327" s="31"/>
      <c r="C327" s="31"/>
      <c r="M327" s="25"/>
      <c r="N327" s="25"/>
    </row>
    <row r="328" spans="2:14" ht="15.6" x14ac:dyDescent="0.3">
      <c r="B328" s="31"/>
      <c r="C328" s="31"/>
      <c r="M328" s="25"/>
      <c r="N328" s="25"/>
    </row>
    <row r="329" spans="2:14" ht="15.6" x14ac:dyDescent="0.3">
      <c r="B329" s="31"/>
      <c r="C329" s="31"/>
      <c r="M329" s="25"/>
      <c r="N329" s="25"/>
    </row>
    <row r="330" spans="2:14" ht="15.6" x14ac:dyDescent="0.3">
      <c r="B330" s="31"/>
      <c r="C330" s="31"/>
      <c r="M330" s="25"/>
      <c r="N330" s="25"/>
    </row>
    <row r="331" spans="2:14" ht="15.6" x14ac:dyDescent="0.3">
      <c r="B331" s="31"/>
      <c r="C331" s="31"/>
      <c r="M331" s="25"/>
      <c r="N331" s="25"/>
    </row>
    <row r="332" spans="2:14" ht="15.6" x14ac:dyDescent="0.3">
      <c r="B332" s="31"/>
      <c r="C332" s="31"/>
      <c r="M332" s="25"/>
      <c r="N332" s="25"/>
    </row>
    <row r="333" spans="2:14" ht="15.6" x14ac:dyDescent="0.3">
      <c r="B333" s="31"/>
      <c r="C333" s="31"/>
      <c r="M333" s="25"/>
      <c r="N333" s="25"/>
    </row>
    <row r="334" spans="2:14" ht="15.6" x14ac:dyDescent="0.3">
      <c r="B334" s="31"/>
      <c r="C334" s="31"/>
      <c r="M334" s="25"/>
      <c r="N334" s="25"/>
    </row>
    <row r="335" spans="2:14" ht="15.6" x14ac:dyDescent="0.3">
      <c r="B335" s="31"/>
      <c r="C335" s="31"/>
      <c r="M335" s="25"/>
      <c r="N335" s="25"/>
    </row>
    <row r="336" spans="2:14" ht="15.6" x14ac:dyDescent="0.3">
      <c r="B336" s="31"/>
      <c r="C336" s="31"/>
      <c r="M336" s="25"/>
      <c r="N336" s="25"/>
    </row>
    <row r="337" spans="2:14" ht="15.6" x14ac:dyDescent="0.3">
      <c r="B337" s="31"/>
      <c r="C337" s="31"/>
      <c r="M337" s="25"/>
      <c r="N337" s="25"/>
    </row>
    <row r="338" spans="2:14" ht="15.6" x14ac:dyDescent="0.3">
      <c r="B338" s="31"/>
      <c r="C338" s="31"/>
      <c r="M338" s="25"/>
      <c r="N338" s="25"/>
    </row>
    <row r="339" spans="2:14" ht="15.6" x14ac:dyDescent="0.3">
      <c r="B339" s="31"/>
      <c r="C339" s="31"/>
      <c r="M339" s="25"/>
      <c r="N339" s="25"/>
    </row>
    <row r="340" spans="2:14" ht="15.6" x14ac:dyDescent="0.3">
      <c r="B340" s="31"/>
      <c r="C340" s="31"/>
      <c r="M340" s="25"/>
      <c r="N340" s="25"/>
    </row>
    <row r="341" spans="2:14" ht="15.6" x14ac:dyDescent="0.3">
      <c r="B341" s="31"/>
      <c r="C341" s="31"/>
      <c r="M341" s="25"/>
      <c r="N341" s="25"/>
    </row>
    <row r="342" spans="2:14" ht="15.6" x14ac:dyDescent="0.3">
      <c r="B342" s="31"/>
      <c r="C342" s="31"/>
      <c r="M342" s="25"/>
      <c r="N342" s="25"/>
    </row>
    <row r="343" spans="2:14" ht="15.6" x14ac:dyDescent="0.3">
      <c r="B343" s="31"/>
      <c r="C343" s="31"/>
      <c r="M343" s="25"/>
      <c r="N343" s="25"/>
    </row>
    <row r="344" spans="2:14" ht="15.6" x14ac:dyDescent="0.3">
      <c r="B344" s="31"/>
      <c r="C344" s="31"/>
      <c r="M344" s="25"/>
      <c r="N344" s="25"/>
    </row>
    <row r="345" spans="2:14" ht="15.6" x14ac:dyDescent="0.3">
      <c r="B345" s="31"/>
      <c r="C345" s="31"/>
      <c r="M345" s="25"/>
      <c r="N345" s="25"/>
    </row>
    <row r="346" spans="2:14" ht="15.6" x14ac:dyDescent="0.3">
      <c r="B346" s="31"/>
      <c r="C346" s="31"/>
      <c r="M346" s="25"/>
      <c r="N346" s="25"/>
    </row>
    <row r="347" spans="2:14" ht="15.6" x14ac:dyDescent="0.3">
      <c r="B347" s="31"/>
      <c r="C347" s="31"/>
      <c r="M347" s="25"/>
      <c r="N347" s="25"/>
    </row>
    <row r="348" spans="2:14" ht="15.6" x14ac:dyDescent="0.3">
      <c r="B348" s="31"/>
      <c r="C348" s="31"/>
      <c r="M348" s="25"/>
      <c r="N348" s="25"/>
    </row>
    <row r="349" spans="2:14" ht="15.6" x14ac:dyDescent="0.3">
      <c r="B349" s="31"/>
      <c r="C349" s="31"/>
      <c r="M349" s="25"/>
      <c r="N349" s="25"/>
    </row>
    <row r="350" spans="2:14" ht="15.6" x14ac:dyDescent="0.3">
      <c r="B350" s="31"/>
      <c r="C350" s="31"/>
      <c r="M350" s="25"/>
      <c r="N350" s="25"/>
    </row>
    <row r="351" spans="2:14" ht="15.6" x14ac:dyDescent="0.3">
      <c r="B351" s="31"/>
      <c r="C351" s="31"/>
      <c r="M351" s="25"/>
      <c r="N351" s="25"/>
    </row>
    <row r="352" spans="2:14" ht="15.6" x14ac:dyDescent="0.3">
      <c r="B352" s="31"/>
      <c r="C352" s="31"/>
      <c r="M352" s="25"/>
      <c r="N352" s="25"/>
    </row>
    <row r="353" spans="2:14" ht="15.6" x14ac:dyDescent="0.3">
      <c r="B353" s="31"/>
      <c r="C353" s="31"/>
      <c r="M353" s="25"/>
      <c r="N353" s="25"/>
    </row>
    <row r="354" spans="2:14" ht="15.6" x14ac:dyDescent="0.3">
      <c r="B354" s="31"/>
      <c r="C354" s="31"/>
      <c r="M354" s="25"/>
      <c r="N354" s="25"/>
    </row>
    <row r="355" spans="2:14" ht="15.6" x14ac:dyDescent="0.3">
      <c r="B355" s="31"/>
      <c r="C355" s="31"/>
      <c r="M355" s="25"/>
      <c r="N355" s="25"/>
    </row>
    <row r="356" spans="2:14" ht="15.6" x14ac:dyDescent="0.3">
      <c r="B356" s="31"/>
      <c r="C356" s="31"/>
      <c r="M356" s="25"/>
      <c r="N356" s="25"/>
    </row>
    <row r="357" spans="2:14" ht="15.6" x14ac:dyDescent="0.3">
      <c r="B357" s="31"/>
      <c r="C357" s="31"/>
      <c r="M357" s="25"/>
      <c r="N357" s="25"/>
    </row>
    <row r="358" spans="2:14" ht="15.6" x14ac:dyDescent="0.3">
      <c r="B358" s="31"/>
      <c r="C358" s="31"/>
      <c r="M358" s="25"/>
      <c r="N358" s="25"/>
    </row>
    <row r="359" spans="2:14" ht="15.6" x14ac:dyDescent="0.3">
      <c r="B359" s="31"/>
      <c r="C359" s="31"/>
      <c r="M359" s="25"/>
      <c r="N359" s="25"/>
    </row>
    <row r="360" spans="2:14" ht="15.6" x14ac:dyDescent="0.3">
      <c r="B360" s="31"/>
      <c r="C360" s="31"/>
      <c r="M360" s="25"/>
      <c r="N360" s="25"/>
    </row>
    <row r="361" spans="2:14" ht="15.6" x14ac:dyDescent="0.3">
      <c r="B361" s="31"/>
      <c r="C361" s="31"/>
      <c r="M361" s="25"/>
      <c r="N361" s="25"/>
    </row>
    <row r="362" spans="2:14" ht="15.6" x14ac:dyDescent="0.3">
      <c r="B362" s="31"/>
      <c r="C362" s="31"/>
      <c r="M362" s="25"/>
      <c r="N362" s="25"/>
    </row>
    <row r="363" spans="2:14" ht="15.6" x14ac:dyDescent="0.3">
      <c r="B363" s="31"/>
      <c r="C363" s="31"/>
      <c r="M363" s="25"/>
      <c r="N363" s="25"/>
    </row>
    <row r="364" spans="2:14" ht="15.6" x14ac:dyDescent="0.3">
      <c r="B364" s="31"/>
      <c r="C364" s="31"/>
      <c r="M364" s="25"/>
      <c r="N364" s="25"/>
    </row>
    <row r="365" spans="2:14" ht="15.6" x14ac:dyDescent="0.3">
      <c r="B365" s="31"/>
      <c r="C365" s="31"/>
      <c r="M365" s="25"/>
      <c r="N365" s="25"/>
    </row>
    <row r="366" spans="2:14" ht="15.6" x14ac:dyDescent="0.3">
      <c r="B366" s="31"/>
      <c r="C366" s="31"/>
      <c r="M366" s="25"/>
      <c r="N366" s="25"/>
    </row>
    <row r="367" spans="2:14" ht="15.6" x14ac:dyDescent="0.3">
      <c r="B367" s="31"/>
      <c r="C367" s="31"/>
      <c r="M367" s="25"/>
      <c r="N367" s="25"/>
    </row>
    <row r="368" spans="2:14" ht="15.6" x14ac:dyDescent="0.3">
      <c r="B368" s="31"/>
      <c r="C368" s="31"/>
      <c r="M368" s="25"/>
      <c r="N368" s="25"/>
    </row>
    <row r="369" spans="2:14" ht="15.6" x14ac:dyDescent="0.3">
      <c r="B369" s="31"/>
      <c r="C369" s="31"/>
      <c r="M369" s="25"/>
      <c r="N369" s="25"/>
    </row>
    <row r="370" spans="2:14" ht="15.6" x14ac:dyDescent="0.3">
      <c r="B370" s="31"/>
      <c r="C370" s="31"/>
      <c r="M370" s="25"/>
      <c r="N370" s="25"/>
    </row>
    <row r="371" spans="2:14" ht="15.6" x14ac:dyDescent="0.3">
      <c r="B371" s="31"/>
      <c r="C371" s="31"/>
      <c r="M371" s="25"/>
      <c r="N371" s="25"/>
    </row>
    <row r="372" spans="2:14" ht="15.6" x14ac:dyDescent="0.3">
      <c r="B372" s="31"/>
      <c r="C372" s="31"/>
      <c r="M372" s="25"/>
      <c r="N372" s="25"/>
    </row>
    <row r="373" spans="2:14" ht="15.6" x14ac:dyDescent="0.3">
      <c r="B373" s="31"/>
      <c r="C373" s="31"/>
      <c r="M373" s="25"/>
      <c r="N373" s="25"/>
    </row>
    <row r="374" spans="2:14" ht="15.6" x14ac:dyDescent="0.3">
      <c r="B374" s="31"/>
      <c r="C374" s="31"/>
      <c r="M374" s="25"/>
      <c r="N374" s="25"/>
    </row>
    <row r="375" spans="2:14" ht="15.6" x14ac:dyDescent="0.3">
      <c r="B375" s="31"/>
      <c r="C375" s="31"/>
      <c r="M375" s="25"/>
      <c r="N375" s="25"/>
    </row>
    <row r="376" spans="2:14" ht="15.6" x14ac:dyDescent="0.3">
      <c r="B376" s="31"/>
      <c r="C376" s="31"/>
      <c r="M376" s="25"/>
      <c r="N376" s="25"/>
    </row>
    <row r="377" spans="2:14" ht="15.6" x14ac:dyDescent="0.3">
      <c r="B377" s="31"/>
      <c r="C377" s="31"/>
      <c r="M377" s="25"/>
      <c r="N377" s="25"/>
    </row>
    <row r="378" spans="2:14" ht="15.6" x14ac:dyDescent="0.3">
      <c r="B378" s="31"/>
      <c r="C378" s="31"/>
      <c r="M378" s="25"/>
      <c r="N378" s="25"/>
    </row>
    <row r="379" spans="2:14" ht="15.6" x14ac:dyDescent="0.3">
      <c r="B379" s="31"/>
      <c r="C379" s="31"/>
      <c r="M379" s="25"/>
      <c r="N379" s="25"/>
    </row>
    <row r="380" spans="2:14" ht="15.6" x14ac:dyDescent="0.3">
      <c r="B380" s="31"/>
      <c r="C380" s="31"/>
      <c r="M380" s="25"/>
      <c r="N380" s="25"/>
    </row>
    <row r="381" spans="2:14" ht="15.6" x14ac:dyDescent="0.3">
      <c r="B381" s="31"/>
      <c r="C381" s="31"/>
      <c r="M381" s="25"/>
      <c r="N381" s="25"/>
    </row>
    <row r="382" spans="2:14" ht="15.6" x14ac:dyDescent="0.3">
      <c r="B382" s="31"/>
      <c r="C382" s="31"/>
      <c r="M382" s="25"/>
      <c r="N382" s="25"/>
    </row>
    <row r="383" spans="2:14" ht="15.6" x14ac:dyDescent="0.3">
      <c r="B383" s="31"/>
      <c r="C383" s="31"/>
      <c r="M383" s="25"/>
      <c r="N383" s="25"/>
    </row>
    <row r="384" spans="2:14" ht="15.6" x14ac:dyDescent="0.3">
      <c r="B384" s="31"/>
      <c r="C384" s="31"/>
      <c r="M384" s="25"/>
      <c r="N384" s="25"/>
    </row>
    <row r="385" spans="2:14" ht="15.6" x14ac:dyDescent="0.3">
      <c r="B385" s="31"/>
      <c r="C385" s="31"/>
      <c r="M385" s="25"/>
      <c r="N385" s="25"/>
    </row>
    <row r="386" spans="2:14" ht="15.6" x14ac:dyDescent="0.3">
      <c r="B386" s="31"/>
      <c r="C386" s="31"/>
      <c r="M386" s="25"/>
      <c r="N386" s="25"/>
    </row>
    <row r="387" spans="2:14" ht="15.6" x14ac:dyDescent="0.3">
      <c r="B387" s="31"/>
      <c r="C387" s="31"/>
      <c r="M387" s="25"/>
      <c r="N387" s="25"/>
    </row>
    <row r="388" spans="2:14" ht="15.6" x14ac:dyDescent="0.3">
      <c r="B388" s="31"/>
      <c r="C388" s="31"/>
      <c r="M388" s="25"/>
      <c r="N388" s="25"/>
    </row>
    <row r="389" spans="2:14" ht="15.6" x14ac:dyDescent="0.3">
      <c r="B389" s="31"/>
      <c r="C389" s="31"/>
      <c r="M389" s="25"/>
      <c r="N389" s="25"/>
    </row>
    <row r="390" spans="2:14" ht="15.6" x14ac:dyDescent="0.3">
      <c r="B390" s="31"/>
      <c r="C390" s="31"/>
      <c r="M390" s="25"/>
      <c r="N390" s="25"/>
    </row>
    <row r="391" spans="2:14" ht="15.6" x14ac:dyDescent="0.3">
      <c r="B391" s="31"/>
      <c r="C391" s="31"/>
      <c r="M391" s="25"/>
      <c r="N391" s="25"/>
    </row>
    <row r="392" spans="2:14" ht="15.6" x14ac:dyDescent="0.3">
      <c r="B392" s="31"/>
      <c r="C392" s="31"/>
      <c r="M392" s="25"/>
      <c r="N392" s="25"/>
    </row>
    <row r="393" spans="2:14" ht="15.6" x14ac:dyDescent="0.3">
      <c r="B393" s="31"/>
      <c r="C393" s="31"/>
      <c r="M393" s="25"/>
      <c r="N393" s="25"/>
    </row>
    <row r="394" spans="2:14" ht="15.6" x14ac:dyDescent="0.3">
      <c r="B394" s="31"/>
      <c r="C394" s="31"/>
      <c r="M394" s="25"/>
      <c r="N394" s="25"/>
    </row>
    <row r="395" spans="2:14" ht="15.6" x14ac:dyDescent="0.3">
      <c r="B395" s="31"/>
      <c r="C395" s="31"/>
      <c r="M395" s="25"/>
      <c r="N395" s="25"/>
    </row>
    <row r="396" spans="2:14" ht="15.6" x14ac:dyDescent="0.3">
      <c r="B396" s="31"/>
      <c r="C396" s="31"/>
      <c r="M396" s="25"/>
      <c r="N396" s="25"/>
    </row>
    <row r="397" spans="2:14" ht="15.6" x14ac:dyDescent="0.3">
      <c r="B397" s="31"/>
      <c r="C397" s="31"/>
      <c r="M397" s="25"/>
      <c r="N397" s="25"/>
    </row>
    <row r="398" spans="2:14" ht="15.6" x14ac:dyDescent="0.3">
      <c r="B398" s="31"/>
      <c r="C398" s="31"/>
      <c r="M398" s="25"/>
      <c r="N398" s="25"/>
    </row>
    <row r="399" spans="2:14" ht="15.6" x14ac:dyDescent="0.3">
      <c r="B399" s="31"/>
      <c r="C399" s="31"/>
      <c r="M399" s="25"/>
      <c r="N399" s="25"/>
    </row>
    <row r="400" spans="2:14" ht="15.6" x14ac:dyDescent="0.3">
      <c r="B400" s="31"/>
      <c r="C400" s="31"/>
      <c r="M400" s="25"/>
      <c r="N400" s="25"/>
    </row>
    <row r="401" spans="2:14" ht="15.6" x14ac:dyDescent="0.3">
      <c r="B401" s="31"/>
      <c r="C401" s="31"/>
      <c r="M401" s="25"/>
      <c r="N401" s="25"/>
    </row>
    <row r="402" spans="2:14" ht="15.6" x14ac:dyDescent="0.3">
      <c r="B402" s="31"/>
      <c r="C402" s="31"/>
      <c r="M402" s="25"/>
      <c r="N402" s="25"/>
    </row>
    <row r="403" spans="2:14" ht="15.6" x14ac:dyDescent="0.3">
      <c r="B403" s="31"/>
      <c r="C403" s="31"/>
      <c r="M403" s="25"/>
      <c r="N403" s="25"/>
    </row>
    <row r="404" spans="2:14" ht="15.6" x14ac:dyDescent="0.3">
      <c r="B404" s="31"/>
      <c r="C404" s="31"/>
      <c r="M404" s="25"/>
      <c r="N404" s="25"/>
    </row>
    <row r="405" spans="2:14" ht="15.6" x14ac:dyDescent="0.3">
      <c r="B405" s="31"/>
      <c r="C405" s="31"/>
      <c r="M405" s="25"/>
      <c r="N405" s="25"/>
    </row>
    <row r="406" spans="2:14" ht="15.6" x14ac:dyDescent="0.3">
      <c r="B406" s="31"/>
      <c r="C406" s="31"/>
      <c r="M406" s="25"/>
      <c r="N406" s="25"/>
    </row>
    <row r="407" spans="2:14" ht="15.6" x14ac:dyDescent="0.3">
      <c r="B407" s="31"/>
      <c r="C407" s="31"/>
      <c r="M407" s="25"/>
      <c r="N407" s="25"/>
    </row>
    <row r="408" spans="2:14" ht="15.6" x14ac:dyDescent="0.3">
      <c r="B408" s="31"/>
      <c r="C408" s="31"/>
      <c r="M408" s="25"/>
      <c r="N408" s="25"/>
    </row>
    <row r="409" spans="2:14" ht="15.6" x14ac:dyDescent="0.3">
      <c r="B409" s="31"/>
      <c r="C409" s="31"/>
      <c r="M409" s="25"/>
      <c r="N409" s="25"/>
    </row>
    <row r="410" spans="2:14" ht="15.6" x14ac:dyDescent="0.3">
      <c r="B410" s="31"/>
      <c r="C410" s="31"/>
      <c r="M410" s="25"/>
      <c r="N410" s="25"/>
    </row>
    <row r="411" spans="2:14" ht="15.6" x14ac:dyDescent="0.3">
      <c r="B411" s="31"/>
      <c r="C411" s="31"/>
      <c r="M411" s="25"/>
      <c r="N411" s="25"/>
    </row>
    <row r="412" spans="2:14" ht="15.6" x14ac:dyDescent="0.3">
      <c r="B412" s="31"/>
      <c r="C412" s="31"/>
      <c r="M412" s="25"/>
      <c r="N412" s="25"/>
    </row>
    <row r="413" spans="2:14" ht="15.6" x14ac:dyDescent="0.3">
      <c r="B413" s="31"/>
      <c r="C413" s="31"/>
      <c r="M413" s="25"/>
      <c r="N413" s="25"/>
    </row>
    <row r="414" spans="2:14" ht="15.6" x14ac:dyDescent="0.3">
      <c r="B414" s="31"/>
      <c r="C414" s="31"/>
      <c r="M414" s="25"/>
      <c r="N414" s="25"/>
    </row>
    <row r="415" spans="2:14" ht="15.6" x14ac:dyDescent="0.3">
      <c r="B415" s="31"/>
      <c r="C415" s="31"/>
      <c r="M415" s="25"/>
      <c r="N415" s="25"/>
    </row>
    <row r="416" spans="2:14" ht="15.6" x14ac:dyDescent="0.3">
      <c r="B416" s="31"/>
      <c r="C416" s="31"/>
      <c r="M416" s="25"/>
      <c r="N416" s="25"/>
    </row>
    <row r="417" spans="2:14" ht="15.6" x14ac:dyDescent="0.3">
      <c r="B417" s="31"/>
      <c r="C417" s="31"/>
      <c r="M417" s="25"/>
      <c r="N417" s="25"/>
    </row>
    <row r="418" spans="2:14" ht="15.6" x14ac:dyDescent="0.3">
      <c r="B418" s="31"/>
      <c r="C418" s="31"/>
      <c r="M418" s="25"/>
      <c r="N418" s="25"/>
    </row>
    <row r="419" spans="2:14" ht="15.6" x14ac:dyDescent="0.3">
      <c r="B419" s="31"/>
      <c r="C419" s="31"/>
      <c r="M419" s="25"/>
      <c r="N419" s="25"/>
    </row>
    <row r="420" spans="2:14" ht="15.6" x14ac:dyDescent="0.3">
      <c r="B420" s="31"/>
      <c r="C420" s="31"/>
      <c r="M420" s="25"/>
      <c r="N420" s="25"/>
    </row>
    <row r="421" spans="2:14" ht="15.6" x14ac:dyDescent="0.3">
      <c r="B421" s="31"/>
      <c r="C421" s="31"/>
      <c r="M421" s="25"/>
      <c r="N421" s="25"/>
    </row>
    <row r="422" spans="2:14" ht="15.6" x14ac:dyDescent="0.3">
      <c r="B422" s="31"/>
      <c r="C422" s="31"/>
      <c r="M422" s="25"/>
      <c r="N422" s="25"/>
    </row>
    <row r="423" spans="2:14" ht="15.6" x14ac:dyDescent="0.3">
      <c r="B423" s="31"/>
      <c r="C423" s="31"/>
      <c r="M423" s="25"/>
      <c r="N423" s="25"/>
    </row>
    <row r="424" spans="2:14" ht="15.6" x14ac:dyDescent="0.3">
      <c r="B424" s="31"/>
      <c r="C424" s="31"/>
      <c r="M424" s="25"/>
      <c r="N424" s="25"/>
    </row>
    <row r="425" spans="2:14" ht="15.6" x14ac:dyDescent="0.3">
      <c r="B425" s="31"/>
      <c r="C425" s="31"/>
      <c r="M425" s="25"/>
      <c r="N425" s="25"/>
    </row>
    <row r="426" spans="2:14" ht="15.6" x14ac:dyDescent="0.3">
      <c r="B426" s="31"/>
      <c r="C426" s="31"/>
      <c r="M426" s="25"/>
      <c r="N426" s="25"/>
    </row>
    <row r="427" spans="2:14" ht="15.6" x14ac:dyDescent="0.3">
      <c r="B427" s="31"/>
      <c r="C427" s="31"/>
      <c r="M427" s="25"/>
      <c r="N427" s="25"/>
    </row>
    <row r="428" spans="2:14" ht="15.6" x14ac:dyDescent="0.3">
      <c r="B428" s="31"/>
      <c r="C428" s="31"/>
      <c r="M428" s="25"/>
      <c r="N428" s="25"/>
    </row>
    <row r="429" spans="2:14" ht="15.6" x14ac:dyDescent="0.3">
      <c r="B429" s="31"/>
      <c r="C429" s="31"/>
      <c r="M429" s="25"/>
      <c r="N429" s="25"/>
    </row>
    <row r="430" spans="2:14" ht="15.6" x14ac:dyDescent="0.3">
      <c r="B430" s="31"/>
      <c r="C430" s="31"/>
      <c r="M430" s="25"/>
      <c r="N430" s="25"/>
    </row>
    <row r="431" spans="2:14" ht="15.6" x14ac:dyDescent="0.3">
      <c r="B431" s="31"/>
      <c r="C431" s="31"/>
      <c r="M431" s="25"/>
      <c r="N431" s="25"/>
    </row>
    <row r="432" spans="2:14" ht="15.6" x14ac:dyDescent="0.3">
      <c r="B432" s="31"/>
      <c r="C432" s="31"/>
      <c r="M432" s="25"/>
      <c r="N432" s="25"/>
    </row>
    <row r="433" spans="2:14" ht="15.6" x14ac:dyDescent="0.3">
      <c r="B433" s="31"/>
      <c r="C433" s="31"/>
      <c r="M433" s="25"/>
      <c r="N433" s="25"/>
    </row>
    <row r="434" spans="2:14" ht="15.6" x14ac:dyDescent="0.3">
      <c r="B434" s="31"/>
      <c r="C434" s="31"/>
      <c r="M434" s="25"/>
      <c r="N434" s="25"/>
    </row>
    <row r="435" spans="2:14" ht="15.6" x14ac:dyDescent="0.3">
      <c r="B435" s="31"/>
      <c r="C435" s="31"/>
      <c r="M435" s="25"/>
      <c r="N435" s="25"/>
    </row>
    <row r="436" spans="2:14" ht="15.6" x14ac:dyDescent="0.3">
      <c r="B436" s="31"/>
      <c r="C436" s="31"/>
      <c r="M436" s="25"/>
      <c r="N436" s="25"/>
    </row>
    <row r="437" spans="2:14" ht="15.6" x14ac:dyDescent="0.3">
      <c r="B437" s="31"/>
      <c r="C437" s="31"/>
      <c r="M437" s="25"/>
      <c r="N437" s="25"/>
    </row>
    <row r="438" spans="2:14" ht="15.6" x14ac:dyDescent="0.3">
      <c r="B438" s="31"/>
      <c r="C438" s="31"/>
      <c r="M438" s="25"/>
      <c r="N438" s="25"/>
    </row>
    <row r="439" spans="2:14" ht="15.6" x14ac:dyDescent="0.3">
      <c r="B439" s="31"/>
      <c r="C439" s="31"/>
      <c r="M439" s="25"/>
      <c r="N439" s="25"/>
    </row>
    <row r="440" spans="2:14" ht="15.6" x14ac:dyDescent="0.3">
      <c r="B440" s="31"/>
      <c r="C440" s="31"/>
      <c r="M440" s="25"/>
      <c r="N440" s="25"/>
    </row>
    <row r="441" spans="2:14" ht="15.6" x14ac:dyDescent="0.3">
      <c r="B441" s="31"/>
      <c r="C441" s="31"/>
      <c r="M441" s="25"/>
      <c r="N441" s="25"/>
    </row>
    <row r="442" spans="2:14" ht="15.6" x14ac:dyDescent="0.3">
      <c r="B442" s="31"/>
      <c r="C442" s="31"/>
      <c r="M442" s="25"/>
      <c r="N442" s="25"/>
    </row>
    <row r="443" spans="2:14" ht="15.6" x14ac:dyDescent="0.3">
      <c r="B443" s="31"/>
      <c r="C443" s="31"/>
      <c r="M443" s="25"/>
      <c r="N443" s="25"/>
    </row>
    <row r="444" spans="2:14" ht="15.6" x14ac:dyDescent="0.3">
      <c r="B444" s="31"/>
      <c r="C444" s="31"/>
      <c r="M444" s="25"/>
      <c r="N444" s="25"/>
    </row>
    <row r="445" spans="2:14" ht="15.6" x14ac:dyDescent="0.3">
      <c r="B445" s="31"/>
      <c r="C445" s="31"/>
      <c r="M445" s="25"/>
      <c r="N445" s="25"/>
    </row>
    <row r="446" spans="2:14" ht="15.6" x14ac:dyDescent="0.3">
      <c r="B446" s="31"/>
      <c r="C446" s="31"/>
      <c r="M446" s="25"/>
      <c r="N446" s="25"/>
    </row>
    <row r="447" spans="2:14" ht="15.6" x14ac:dyDescent="0.3">
      <c r="B447" s="31"/>
      <c r="C447" s="31"/>
      <c r="M447" s="25"/>
      <c r="N447" s="25"/>
    </row>
    <row r="448" spans="2:14" ht="15.6" x14ac:dyDescent="0.3">
      <c r="B448" s="31"/>
      <c r="C448" s="31"/>
      <c r="M448" s="25"/>
      <c r="N448" s="25"/>
    </row>
    <row r="449" spans="2:14" ht="15.6" x14ac:dyDescent="0.3">
      <c r="B449" s="31"/>
      <c r="C449" s="31"/>
      <c r="M449" s="25"/>
      <c r="N449" s="25"/>
    </row>
    <row r="450" spans="2:14" ht="15.6" x14ac:dyDescent="0.3">
      <c r="B450" s="31"/>
      <c r="C450" s="31"/>
      <c r="M450" s="25"/>
      <c r="N450" s="25"/>
    </row>
    <row r="451" spans="2:14" ht="15.6" x14ac:dyDescent="0.3">
      <c r="B451" s="31"/>
      <c r="C451" s="31"/>
      <c r="M451" s="25"/>
      <c r="N451" s="25"/>
    </row>
    <row r="452" spans="2:14" ht="15.6" x14ac:dyDescent="0.3">
      <c r="B452" s="31"/>
      <c r="C452" s="31"/>
      <c r="M452" s="25"/>
      <c r="N452" s="25"/>
    </row>
    <row r="453" spans="2:14" ht="15.6" x14ac:dyDescent="0.3">
      <c r="B453" s="31"/>
      <c r="C453" s="31"/>
      <c r="M453" s="25"/>
      <c r="N453" s="25"/>
    </row>
    <row r="454" spans="2:14" ht="15.6" x14ac:dyDescent="0.3">
      <c r="B454" s="31"/>
      <c r="C454" s="31"/>
      <c r="M454" s="25"/>
      <c r="N454" s="25"/>
    </row>
    <row r="455" spans="2:14" ht="15.6" x14ac:dyDescent="0.3">
      <c r="B455" s="31"/>
      <c r="C455" s="31"/>
      <c r="M455" s="25"/>
      <c r="N455" s="25"/>
    </row>
    <row r="456" spans="2:14" ht="15.6" x14ac:dyDescent="0.3">
      <c r="B456" s="31"/>
      <c r="C456" s="31"/>
      <c r="M456" s="25"/>
      <c r="N456" s="25"/>
    </row>
    <row r="457" spans="2:14" ht="15.6" x14ac:dyDescent="0.3">
      <c r="B457" s="31"/>
      <c r="C457" s="31"/>
      <c r="M457" s="25"/>
      <c r="N457" s="25"/>
    </row>
    <row r="458" spans="2:14" ht="15.6" x14ac:dyDescent="0.3">
      <c r="B458" s="31"/>
      <c r="C458" s="31"/>
      <c r="M458" s="25"/>
      <c r="N458" s="25"/>
    </row>
    <row r="459" spans="2:14" ht="15.6" x14ac:dyDescent="0.3">
      <c r="B459" s="31"/>
      <c r="C459" s="31"/>
      <c r="M459" s="25"/>
      <c r="N459" s="25"/>
    </row>
    <row r="460" spans="2:14" ht="15.6" x14ac:dyDescent="0.3">
      <c r="B460" s="31"/>
      <c r="C460" s="31"/>
      <c r="M460" s="25"/>
      <c r="N460" s="25"/>
    </row>
    <row r="461" spans="2:14" ht="15.6" x14ac:dyDescent="0.3">
      <c r="B461" s="31"/>
      <c r="C461" s="31"/>
      <c r="M461" s="25"/>
      <c r="N461" s="25"/>
    </row>
    <row r="462" spans="2:14" ht="15.6" x14ac:dyDescent="0.3">
      <c r="B462" s="31"/>
      <c r="C462" s="31"/>
      <c r="M462" s="25"/>
      <c r="N462" s="25"/>
    </row>
    <row r="463" spans="2:14" ht="15.6" x14ac:dyDescent="0.3">
      <c r="B463" s="31"/>
      <c r="C463" s="31"/>
      <c r="M463" s="25"/>
      <c r="N463" s="25"/>
    </row>
    <row r="464" spans="2:14" ht="15.6" x14ac:dyDescent="0.3">
      <c r="B464" s="31"/>
      <c r="C464" s="31"/>
      <c r="M464" s="25"/>
      <c r="N464" s="25"/>
    </row>
    <row r="465" spans="2:14" ht="15.6" x14ac:dyDescent="0.3">
      <c r="B465" s="31"/>
      <c r="C465" s="31"/>
      <c r="M465" s="25"/>
      <c r="N465" s="25"/>
    </row>
    <row r="466" spans="2:14" ht="15.6" x14ac:dyDescent="0.3">
      <c r="B466" s="31"/>
      <c r="C466" s="31"/>
      <c r="M466" s="25"/>
      <c r="N466" s="25"/>
    </row>
    <row r="467" spans="2:14" ht="15.6" x14ac:dyDescent="0.3">
      <c r="B467" s="31"/>
      <c r="C467" s="31"/>
      <c r="M467" s="25"/>
      <c r="N467" s="25"/>
    </row>
    <row r="468" spans="2:14" ht="15.6" x14ac:dyDescent="0.3">
      <c r="B468" s="31"/>
      <c r="C468" s="31"/>
      <c r="M468" s="25"/>
      <c r="N468" s="25"/>
    </row>
    <row r="469" spans="2:14" ht="15.6" x14ac:dyDescent="0.3">
      <c r="B469" s="31"/>
      <c r="C469" s="31"/>
      <c r="M469" s="25"/>
      <c r="N469" s="25"/>
    </row>
    <row r="470" spans="2:14" ht="15.6" x14ac:dyDescent="0.3">
      <c r="B470" s="31"/>
      <c r="C470" s="31"/>
      <c r="M470" s="25"/>
      <c r="N470" s="25"/>
    </row>
    <row r="471" spans="2:14" ht="15.6" x14ac:dyDescent="0.3">
      <c r="B471" s="31"/>
      <c r="C471" s="31"/>
      <c r="M471" s="25"/>
      <c r="N471" s="25"/>
    </row>
    <row r="472" spans="2:14" ht="15.6" x14ac:dyDescent="0.3">
      <c r="B472" s="31"/>
      <c r="C472" s="31"/>
      <c r="M472" s="25"/>
      <c r="N472" s="25"/>
    </row>
    <row r="473" spans="2:14" ht="15.6" x14ac:dyDescent="0.3">
      <c r="B473" s="31"/>
      <c r="C473" s="31"/>
      <c r="M473" s="25"/>
      <c r="N473" s="25"/>
    </row>
    <row r="474" spans="2:14" ht="15.6" x14ac:dyDescent="0.3">
      <c r="B474" s="31"/>
      <c r="C474" s="31"/>
      <c r="M474" s="25"/>
      <c r="N474" s="25"/>
    </row>
    <row r="475" spans="2:14" ht="15.6" x14ac:dyDescent="0.3">
      <c r="B475" s="31"/>
      <c r="C475" s="31"/>
      <c r="M475" s="25"/>
      <c r="N475" s="25"/>
    </row>
    <row r="476" spans="2:14" ht="15.6" x14ac:dyDescent="0.3">
      <c r="B476" s="31"/>
      <c r="C476" s="31"/>
      <c r="M476" s="25"/>
      <c r="N476" s="25"/>
    </row>
    <row r="477" spans="2:14" ht="15.6" x14ac:dyDescent="0.3">
      <c r="B477" s="31"/>
      <c r="C477" s="31"/>
      <c r="M477" s="25"/>
      <c r="N477" s="25"/>
    </row>
    <row r="478" spans="2:14" ht="15.6" x14ac:dyDescent="0.3">
      <c r="B478" s="31"/>
      <c r="C478" s="31"/>
      <c r="M478" s="25"/>
      <c r="N478" s="25"/>
    </row>
    <row r="479" spans="2:14" ht="15.6" x14ac:dyDescent="0.3">
      <c r="B479" s="31"/>
      <c r="C479" s="31"/>
      <c r="M479" s="25"/>
      <c r="N479" s="25"/>
    </row>
    <row r="480" spans="2:14" ht="15.6" x14ac:dyDescent="0.3">
      <c r="B480" s="31"/>
      <c r="C480" s="31"/>
      <c r="M480" s="25"/>
      <c r="N480" s="25"/>
    </row>
    <row r="481" spans="2:14" ht="15.6" x14ac:dyDescent="0.3">
      <c r="B481" s="31"/>
      <c r="C481" s="31"/>
      <c r="M481" s="25"/>
      <c r="N481" s="25"/>
    </row>
    <row r="482" spans="2:14" ht="15.6" x14ac:dyDescent="0.3">
      <c r="B482" s="31"/>
      <c r="C482" s="31"/>
      <c r="M482" s="25"/>
      <c r="N482" s="25"/>
    </row>
    <row r="483" spans="2:14" ht="15.6" x14ac:dyDescent="0.3">
      <c r="B483" s="31"/>
      <c r="C483" s="31"/>
      <c r="M483" s="25"/>
      <c r="N483" s="25"/>
    </row>
    <row r="484" spans="2:14" ht="15.6" x14ac:dyDescent="0.3">
      <c r="B484" s="31"/>
      <c r="C484" s="31"/>
      <c r="M484" s="25"/>
      <c r="N484" s="25"/>
    </row>
    <row r="485" spans="2:14" ht="15.6" x14ac:dyDescent="0.3">
      <c r="B485" s="31"/>
      <c r="C485" s="31"/>
      <c r="M485" s="25"/>
      <c r="N485" s="25"/>
    </row>
    <row r="486" spans="2:14" ht="15.6" x14ac:dyDescent="0.3">
      <c r="B486" s="31"/>
      <c r="C486" s="31"/>
      <c r="M486" s="25"/>
      <c r="N486" s="25"/>
    </row>
    <row r="487" spans="2:14" ht="15.6" x14ac:dyDescent="0.3">
      <c r="B487" s="31"/>
      <c r="C487" s="31"/>
      <c r="M487" s="25"/>
      <c r="N487" s="25"/>
    </row>
    <row r="488" spans="2:14" ht="15.6" x14ac:dyDescent="0.3">
      <c r="B488" s="31"/>
      <c r="C488" s="31"/>
      <c r="M488" s="25"/>
      <c r="N488" s="25"/>
    </row>
    <row r="489" spans="2:14" ht="15.6" x14ac:dyDescent="0.3">
      <c r="B489" s="31"/>
      <c r="C489" s="31"/>
      <c r="M489" s="25"/>
      <c r="N489" s="25"/>
    </row>
    <row r="490" spans="2:14" ht="15.6" x14ac:dyDescent="0.3">
      <c r="B490" s="31"/>
      <c r="C490" s="31"/>
      <c r="M490" s="25"/>
      <c r="N490" s="25"/>
    </row>
    <row r="491" spans="2:14" ht="15.6" x14ac:dyDescent="0.3">
      <c r="B491" s="31"/>
      <c r="C491" s="31"/>
      <c r="M491" s="25"/>
      <c r="N491" s="25"/>
    </row>
    <row r="492" spans="2:14" ht="15.6" x14ac:dyDescent="0.3">
      <c r="B492" s="31"/>
      <c r="C492" s="31"/>
      <c r="M492" s="25"/>
      <c r="N492" s="25"/>
    </row>
    <row r="493" spans="2:14" ht="15.6" x14ac:dyDescent="0.3">
      <c r="B493" s="31"/>
      <c r="C493" s="31"/>
      <c r="M493" s="25"/>
      <c r="N493" s="25"/>
    </row>
    <row r="494" spans="2:14" ht="15.6" x14ac:dyDescent="0.3">
      <c r="B494" s="31"/>
      <c r="C494" s="31"/>
      <c r="M494" s="25"/>
      <c r="N494" s="25"/>
    </row>
    <row r="495" spans="2:14" ht="15.6" x14ac:dyDescent="0.3">
      <c r="B495" s="31"/>
      <c r="C495" s="31"/>
      <c r="M495" s="25"/>
      <c r="N495" s="25"/>
    </row>
    <row r="496" spans="2:14" ht="15.6" x14ac:dyDescent="0.3">
      <c r="B496" s="31"/>
      <c r="C496" s="31"/>
      <c r="M496" s="25"/>
      <c r="N496" s="25"/>
    </row>
    <row r="497" spans="2:14" ht="15.6" x14ac:dyDescent="0.3">
      <c r="B497" s="31"/>
      <c r="C497" s="31"/>
      <c r="M497" s="25"/>
      <c r="N497" s="25"/>
    </row>
    <row r="498" spans="2:14" ht="15.6" x14ac:dyDescent="0.3">
      <c r="B498" s="31"/>
      <c r="C498" s="31"/>
      <c r="M498" s="25"/>
      <c r="N498" s="25"/>
    </row>
    <row r="499" spans="2:14" ht="15.6" x14ac:dyDescent="0.3">
      <c r="B499" s="31"/>
      <c r="C499" s="31"/>
      <c r="M499" s="25"/>
      <c r="N499" s="25"/>
    </row>
    <row r="500" spans="2:14" ht="15.6" x14ac:dyDescent="0.3">
      <c r="B500" s="31"/>
      <c r="C500" s="31"/>
      <c r="M500" s="25"/>
      <c r="N500" s="25"/>
    </row>
    <row r="501" spans="2:14" ht="15.6" x14ac:dyDescent="0.3">
      <c r="B501" s="31"/>
      <c r="C501" s="31"/>
      <c r="M501" s="25"/>
      <c r="N501" s="25"/>
    </row>
    <row r="502" spans="2:14" ht="15.6" x14ac:dyDescent="0.3">
      <c r="B502" s="31"/>
      <c r="C502" s="31"/>
      <c r="M502" s="25"/>
      <c r="N502" s="25"/>
    </row>
    <row r="503" spans="2:14" ht="15.6" x14ac:dyDescent="0.3">
      <c r="B503" s="31"/>
      <c r="C503" s="31"/>
      <c r="M503" s="25"/>
      <c r="N503" s="25"/>
    </row>
    <row r="504" spans="2:14" ht="15.6" x14ac:dyDescent="0.3">
      <c r="B504" s="31"/>
      <c r="C504" s="31"/>
      <c r="M504" s="25"/>
      <c r="N504" s="25"/>
    </row>
    <row r="505" spans="2:14" ht="15.6" x14ac:dyDescent="0.3">
      <c r="B505" s="31"/>
      <c r="C505" s="31"/>
      <c r="M505" s="25"/>
      <c r="N505" s="25"/>
    </row>
    <row r="506" spans="2:14" ht="15.6" x14ac:dyDescent="0.3">
      <c r="B506" s="31"/>
      <c r="C506" s="31"/>
      <c r="M506" s="25"/>
      <c r="N506" s="25"/>
    </row>
    <row r="507" spans="2:14" ht="15.6" x14ac:dyDescent="0.3">
      <c r="B507" s="31"/>
      <c r="C507" s="31"/>
      <c r="M507" s="25"/>
      <c r="N507" s="25"/>
    </row>
    <row r="508" spans="2:14" ht="15.6" x14ac:dyDescent="0.3">
      <c r="B508" s="31"/>
      <c r="C508" s="31"/>
      <c r="M508" s="25"/>
      <c r="N508" s="25"/>
    </row>
    <row r="509" spans="2:14" ht="15.6" x14ac:dyDescent="0.3">
      <c r="B509" s="31"/>
      <c r="C509" s="31"/>
      <c r="M509" s="25"/>
      <c r="N509" s="25"/>
    </row>
    <row r="510" spans="2:14" ht="15.6" x14ac:dyDescent="0.3">
      <c r="B510" s="31"/>
      <c r="C510" s="31"/>
      <c r="M510" s="25"/>
      <c r="N510" s="25"/>
    </row>
    <row r="511" spans="2:14" ht="15.6" x14ac:dyDescent="0.3">
      <c r="B511" s="31"/>
      <c r="C511" s="31"/>
      <c r="M511" s="25"/>
      <c r="N511" s="25"/>
    </row>
    <row r="512" spans="2:14" ht="15.6" x14ac:dyDescent="0.3">
      <c r="B512" s="31"/>
      <c r="C512" s="31"/>
      <c r="M512" s="25"/>
      <c r="N512" s="25"/>
    </row>
    <row r="513" spans="2:14" ht="15.6" x14ac:dyDescent="0.3">
      <c r="B513" s="31"/>
      <c r="C513" s="31"/>
      <c r="M513" s="25"/>
      <c r="N513" s="25"/>
    </row>
    <row r="514" spans="2:14" ht="15.6" x14ac:dyDescent="0.3">
      <c r="B514" s="31"/>
      <c r="C514" s="31"/>
      <c r="M514" s="25"/>
      <c r="N514" s="25"/>
    </row>
    <row r="515" spans="2:14" ht="15.6" x14ac:dyDescent="0.3">
      <c r="B515" s="31"/>
      <c r="C515" s="31"/>
      <c r="M515" s="25"/>
      <c r="N515" s="25"/>
    </row>
    <row r="516" spans="2:14" ht="15.6" x14ac:dyDescent="0.3">
      <c r="B516" s="31"/>
      <c r="C516" s="31"/>
      <c r="M516" s="25"/>
      <c r="N516" s="25"/>
    </row>
    <row r="517" spans="2:14" ht="15.6" x14ac:dyDescent="0.3">
      <c r="B517" s="31"/>
      <c r="C517" s="31"/>
      <c r="M517" s="25"/>
      <c r="N517" s="25"/>
    </row>
    <row r="518" spans="2:14" ht="15.6" x14ac:dyDescent="0.3">
      <c r="B518" s="31"/>
      <c r="C518" s="31"/>
      <c r="M518" s="25"/>
      <c r="N518" s="25"/>
    </row>
    <row r="519" spans="2:14" ht="15.6" x14ac:dyDescent="0.3">
      <c r="B519" s="31"/>
      <c r="C519" s="31"/>
      <c r="M519" s="25"/>
      <c r="N519" s="25"/>
    </row>
    <row r="520" spans="2:14" ht="15.6" x14ac:dyDescent="0.3">
      <c r="B520" s="31"/>
      <c r="C520" s="31"/>
      <c r="M520" s="25"/>
      <c r="N520" s="25"/>
    </row>
    <row r="521" spans="2:14" ht="15.6" x14ac:dyDescent="0.3">
      <c r="B521" s="31"/>
      <c r="C521" s="31"/>
      <c r="M521" s="25"/>
      <c r="N521" s="25"/>
    </row>
    <row r="522" spans="2:14" ht="15.6" x14ac:dyDescent="0.3">
      <c r="B522" s="31"/>
      <c r="C522" s="31"/>
      <c r="M522" s="25"/>
      <c r="N522" s="25"/>
    </row>
    <row r="523" spans="2:14" ht="15.6" x14ac:dyDescent="0.3">
      <c r="B523" s="31"/>
      <c r="C523" s="31"/>
      <c r="M523" s="25"/>
      <c r="N523" s="25"/>
    </row>
    <row r="524" spans="2:14" ht="15.6" x14ac:dyDescent="0.3">
      <c r="B524" s="31"/>
      <c r="C524" s="31"/>
      <c r="M524" s="25"/>
      <c r="N524" s="25"/>
    </row>
    <row r="525" spans="2:14" ht="15.6" x14ac:dyDescent="0.3">
      <c r="B525" s="31"/>
      <c r="C525" s="31"/>
      <c r="M525" s="25"/>
      <c r="N525" s="25"/>
    </row>
    <row r="526" spans="2:14" ht="15.6" x14ac:dyDescent="0.3">
      <c r="B526" s="31"/>
      <c r="C526" s="31"/>
      <c r="M526" s="25"/>
      <c r="N526" s="25"/>
    </row>
    <row r="527" spans="2:14" ht="15.6" x14ac:dyDescent="0.3">
      <c r="B527" s="31"/>
      <c r="C527" s="31"/>
      <c r="M527" s="25"/>
      <c r="N527" s="25"/>
    </row>
    <row r="528" spans="2:14" ht="15.6" x14ac:dyDescent="0.3">
      <c r="B528" s="31"/>
      <c r="C528" s="31"/>
      <c r="M528" s="25"/>
      <c r="N528" s="25"/>
    </row>
    <row r="529" spans="2:14" ht="15.6" x14ac:dyDescent="0.3">
      <c r="B529" s="31"/>
      <c r="C529" s="31"/>
      <c r="M529" s="25"/>
      <c r="N529" s="25"/>
    </row>
    <row r="530" spans="2:14" ht="15.6" x14ac:dyDescent="0.3">
      <c r="B530" s="31"/>
      <c r="C530" s="31"/>
      <c r="M530" s="25"/>
      <c r="N530" s="25"/>
    </row>
    <row r="531" spans="2:14" ht="15.6" x14ac:dyDescent="0.3">
      <c r="B531" s="31"/>
      <c r="C531" s="31"/>
      <c r="M531" s="25"/>
      <c r="N531" s="25"/>
    </row>
    <row r="532" spans="2:14" ht="15.6" x14ac:dyDescent="0.3">
      <c r="B532" s="31"/>
      <c r="C532" s="31"/>
      <c r="M532" s="25"/>
      <c r="N532" s="25"/>
    </row>
    <row r="533" spans="2:14" ht="15.6" x14ac:dyDescent="0.3">
      <c r="B533" s="31"/>
      <c r="C533" s="31"/>
      <c r="M533" s="25"/>
      <c r="N533" s="25"/>
    </row>
    <row r="534" spans="2:14" ht="15.6" x14ac:dyDescent="0.3">
      <c r="B534" s="31"/>
      <c r="C534" s="31"/>
      <c r="M534" s="25"/>
      <c r="N534" s="25"/>
    </row>
    <row r="535" spans="2:14" ht="15.6" x14ac:dyDescent="0.3">
      <c r="B535" s="31"/>
      <c r="C535" s="31"/>
      <c r="M535" s="25"/>
      <c r="N535" s="25"/>
    </row>
    <row r="536" spans="2:14" ht="15.6" x14ac:dyDescent="0.3">
      <c r="B536" s="31"/>
      <c r="C536" s="31"/>
      <c r="M536" s="25"/>
      <c r="N536" s="25"/>
    </row>
    <row r="537" spans="2:14" ht="15.6" x14ac:dyDescent="0.3">
      <c r="B537" s="31"/>
      <c r="C537" s="31"/>
      <c r="M537" s="25"/>
      <c r="N537" s="25"/>
    </row>
    <row r="538" spans="2:14" ht="15.6" x14ac:dyDescent="0.3">
      <c r="B538" s="31"/>
      <c r="C538" s="31"/>
      <c r="M538" s="25"/>
      <c r="N538" s="25"/>
    </row>
    <row r="539" spans="2:14" ht="15.6" x14ac:dyDescent="0.3">
      <c r="B539" s="31"/>
      <c r="C539" s="31"/>
      <c r="M539" s="25"/>
      <c r="N539" s="25"/>
    </row>
    <row r="540" spans="2:14" ht="15.6" x14ac:dyDescent="0.3">
      <c r="B540" s="31"/>
      <c r="C540" s="31"/>
      <c r="M540" s="25"/>
      <c r="N540" s="25"/>
    </row>
    <row r="541" spans="2:14" ht="15.6" x14ac:dyDescent="0.3">
      <c r="B541" s="31"/>
      <c r="C541" s="31"/>
      <c r="M541" s="25"/>
      <c r="N541" s="25"/>
    </row>
    <row r="542" spans="2:14" ht="15.6" x14ac:dyDescent="0.3">
      <c r="B542" s="31"/>
      <c r="C542" s="31"/>
      <c r="M542" s="25"/>
      <c r="N542" s="25"/>
    </row>
    <row r="543" spans="2:14" ht="15.6" x14ac:dyDescent="0.3">
      <c r="B543" s="31"/>
      <c r="C543" s="31"/>
      <c r="M543" s="25"/>
      <c r="N543" s="25"/>
    </row>
    <row r="544" spans="2:14" ht="15.6" x14ac:dyDescent="0.3">
      <c r="B544" s="31"/>
      <c r="C544" s="31"/>
      <c r="M544" s="25"/>
      <c r="N544" s="25"/>
    </row>
    <row r="545" spans="2:14" ht="15.6" x14ac:dyDescent="0.3">
      <c r="B545" s="31"/>
      <c r="C545" s="31"/>
      <c r="M545" s="25"/>
      <c r="N545" s="25"/>
    </row>
    <row r="546" spans="2:14" ht="15.6" x14ac:dyDescent="0.3">
      <c r="B546" s="31"/>
      <c r="C546" s="31"/>
      <c r="M546" s="25"/>
      <c r="N546" s="25"/>
    </row>
    <row r="547" spans="2:14" ht="15.6" x14ac:dyDescent="0.3">
      <c r="B547" s="31"/>
      <c r="C547" s="31"/>
      <c r="M547" s="25"/>
      <c r="N547" s="25"/>
    </row>
    <row r="548" spans="2:14" ht="15.6" x14ac:dyDescent="0.3">
      <c r="B548" s="31"/>
      <c r="C548" s="31"/>
      <c r="M548" s="25"/>
      <c r="N548" s="25"/>
    </row>
    <row r="549" spans="2:14" ht="15.6" x14ac:dyDescent="0.3">
      <c r="B549" s="31"/>
      <c r="C549" s="31"/>
      <c r="M549" s="25"/>
      <c r="N549" s="25"/>
    </row>
    <row r="550" spans="2:14" ht="15.6" x14ac:dyDescent="0.3">
      <c r="B550" s="31"/>
      <c r="C550" s="31"/>
      <c r="M550" s="25"/>
      <c r="N550" s="25"/>
    </row>
    <row r="551" spans="2:14" ht="15.6" x14ac:dyDescent="0.3">
      <c r="B551" s="31"/>
      <c r="C551" s="31"/>
      <c r="M551" s="25"/>
      <c r="N551" s="25"/>
    </row>
    <row r="552" spans="2:14" ht="15.6" x14ac:dyDescent="0.3">
      <c r="B552" s="31"/>
      <c r="C552" s="31"/>
      <c r="M552" s="25"/>
      <c r="N552" s="25"/>
    </row>
    <row r="553" spans="2:14" ht="15.6" x14ac:dyDescent="0.3">
      <c r="B553" s="31"/>
      <c r="C553" s="31"/>
      <c r="M553" s="25"/>
      <c r="N553" s="25"/>
    </row>
    <row r="554" spans="2:14" ht="15.6" x14ac:dyDescent="0.3">
      <c r="B554" s="31"/>
      <c r="C554" s="31"/>
      <c r="M554" s="25"/>
      <c r="N554" s="25"/>
    </row>
    <row r="555" spans="2:14" ht="15.6" x14ac:dyDescent="0.3">
      <c r="B555" s="31"/>
      <c r="C555" s="31"/>
      <c r="M555" s="25"/>
      <c r="N555" s="25"/>
    </row>
    <row r="556" spans="2:14" ht="15.6" x14ac:dyDescent="0.3">
      <c r="B556" s="31"/>
      <c r="C556" s="31"/>
      <c r="M556" s="25"/>
      <c r="N556" s="25"/>
    </row>
    <row r="557" spans="2:14" ht="15.6" x14ac:dyDescent="0.3">
      <c r="B557" s="31"/>
      <c r="C557" s="31"/>
      <c r="M557" s="25"/>
      <c r="N557" s="25"/>
    </row>
    <row r="558" spans="2:14" ht="15.6" x14ac:dyDescent="0.3">
      <c r="B558" s="31"/>
      <c r="C558" s="31"/>
      <c r="M558" s="25"/>
      <c r="N558" s="25"/>
    </row>
    <row r="559" spans="2:14" ht="15.6" x14ac:dyDescent="0.3">
      <c r="B559" s="31"/>
      <c r="C559" s="31"/>
      <c r="M559" s="25"/>
      <c r="N559" s="25"/>
    </row>
    <row r="560" spans="2:14" ht="15.6" x14ac:dyDescent="0.3">
      <c r="B560" s="31"/>
      <c r="C560" s="31"/>
      <c r="M560" s="25"/>
      <c r="N560" s="25"/>
    </row>
    <row r="561" spans="2:14" ht="15.6" x14ac:dyDescent="0.3">
      <c r="B561" s="31"/>
      <c r="C561" s="31"/>
      <c r="M561" s="25"/>
      <c r="N561" s="25"/>
    </row>
    <row r="562" spans="2:14" ht="15.6" x14ac:dyDescent="0.3">
      <c r="B562" s="31"/>
      <c r="C562" s="31"/>
      <c r="M562" s="25"/>
      <c r="N562" s="25"/>
    </row>
    <row r="563" spans="2:14" ht="15.6" x14ac:dyDescent="0.3">
      <c r="B563" s="31"/>
      <c r="C563" s="31"/>
      <c r="M563" s="25"/>
      <c r="N563" s="25"/>
    </row>
    <row r="564" spans="2:14" ht="15.6" x14ac:dyDescent="0.3">
      <c r="B564" s="31"/>
      <c r="C564" s="31"/>
      <c r="M564" s="25"/>
      <c r="N564" s="25"/>
    </row>
    <row r="565" spans="2:14" ht="15.6" x14ac:dyDescent="0.3">
      <c r="B565" s="31"/>
      <c r="C565" s="31"/>
      <c r="M565" s="25"/>
      <c r="N565" s="25"/>
    </row>
    <row r="566" spans="2:14" ht="15.6" x14ac:dyDescent="0.3">
      <c r="B566" s="31"/>
      <c r="C566" s="31"/>
      <c r="M566" s="25"/>
      <c r="N566" s="25"/>
    </row>
    <row r="567" spans="2:14" ht="15.6" x14ac:dyDescent="0.3">
      <c r="B567" s="31"/>
      <c r="C567" s="31"/>
      <c r="M567" s="25"/>
      <c r="N567" s="25"/>
    </row>
    <row r="568" spans="2:14" ht="15.6" x14ac:dyDescent="0.3">
      <c r="B568" s="31"/>
      <c r="C568" s="31"/>
      <c r="M568" s="25"/>
      <c r="N568" s="25"/>
    </row>
    <row r="569" spans="2:14" ht="15.6" x14ac:dyDescent="0.3">
      <c r="B569" s="31"/>
      <c r="C569" s="31"/>
      <c r="M569" s="25"/>
      <c r="N569" s="25"/>
    </row>
    <row r="570" spans="2:14" ht="15.6" x14ac:dyDescent="0.3">
      <c r="B570" s="31"/>
      <c r="C570" s="31"/>
      <c r="M570" s="25"/>
      <c r="N570" s="25"/>
    </row>
    <row r="571" spans="2:14" ht="15.6" x14ac:dyDescent="0.3">
      <c r="B571" s="31"/>
      <c r="C571" s="31"/>
      <c r="M571" s="25"/>
      <c r="N571" s="25"/>
    </row>
    <row r="572" spans="2:14" ht="15.6" x14ac:dyDescent="0.3">
      <c r="B572" s="31"/>
      <c r="C572" s="31"/>
      <c r="M572" s="25"/>
      <c r="N572" s="25"/>
    </row>
    <row r="573" spans="2:14" ht="15.6" x14ac:dyDescent="0.3">
      <c r="B573" s="31"/>
      <c r="C573" s="31"/>
      <c r="M573" s="25"/>
      <c r="N573" s="25"/>
    </row>
    <row r="574" spans="2:14" ht="15.6" x14ac:dyDescent="0.3">
      <c r="B574" s="31"/>
      <c r="C574" s="31"/>
      <c r="M574" s="25"/>
      <c r="N574" s="25"/>
    </row>
    <row r="575" spans="2:14" ht="15.6" x14ac:dyDescent="0.3">
      <c r="B575" s="31"/>
      <c r="C575" s="31"/>
      <c r="M575" s="25"/>
      <c r="N575" s="25"/>
    </row>
    <row r="576" spans="2:14" ht="15.6" x14ac:dyDescent="0.3">
      <c r="B576" s="31"/>
      <c r="C576" s="31"/>
      <c r="M576" s="25"/>
      <c r="N576" s="25"/>
    </row>
    <row r="577" spans="2:14" ht="15.6" x14ac:dyDescent="0.3">
      <c r="B577" s="31"/>
      <c r="C577" s="31"/>
      <c r="M577" s="25"/>
      <c r="N577" s="25"/>
    </row>
    <row r="578" spans="2:14" ht="15.6" x14ac:dyDescent="0.3">
      <c r="B578" s="31"/>
      <c r="C578" s="31"/>
      <c r="M578" s="25"/>
      <c r="N578" s="25"/>
    </row>
    <row r="579" spans="2:14" ht="15.6" x14ac:dyDescent="0.3">
      <c r="B579" s="31"/>
      <c r="C579" s="31"/>
      <c r="M579" s="25"/>
      <c r="N579" s="25"/>
    </row>
    <row r="580" spans="2:14" ht="15.6" x14ac:dyDescent="0.3">
      <c r="B580" s="31"/>
      <c r="C580" s="31"/>
      <c r="M580" s="25"/>
      <c r="N580" s="25"/>
    </row>
    <row r="581" spans="2:14" ht="15.6" x14ac:dyDescent="0.3">
      <c r="B581" s="31"/>
      <c r="C581" s="31"/>
      <c r="M581" s="25"/>
      <c r="N581" s="25"/>
    </row>
    <row r="582" spans="2:14" ht="15.6" x14ac:dyDescent="0.3">
      <c r="B582" s="31"/>
      <c r="C582" s="31"/>
      <c r="M582" s="25"/>
      <c r="N582" s="25"/>
    </row>
    <row r="583" spans="2:14" ht="15.6" x14ac:dyDescent="0.3">
      <c r="B583" s="31"/>
      <c r="C583" s="31"/>
      <c r="M583" s="25"/>
      <c r="N583" s="25"/>
    </row>
    <row r="584" spans="2:14" ht="15.6" x14ac:dyDescent="0.3">
      <c r="B584" s="31"/>
      <c r="C584" s="31"/>
      <c r="M584" s="25"/>
      <c r="N584" s="25"/>
    </row>
    <row r="585" spans="2:14" ht="15.6" x14ac:dyDescent="0.3">
      <c r="B585" s="31"/>
      <c r="C585" s="31"/>
      <c r="M585" s="25"/>
      <c r="N585" s="25"/>
    </row>
    <row r="586" spans="2:14" ht="15.6" x14ac:dyDescent="0.3">
      <c r="B586" s="31"/>
      <c r="C586" s="31"/>
      <c r="M586" s="25"/>
      <c r="N586" s="25"/>
    </row>
    <row r="587" spans="2:14" ht="15.6" x14ac:dyDescent="0.3">
      <c r="B587" s="31"/>
      <c r="C587" s="31"/>
      <c r="M587" s="25"/>
      <c r="N587" s="25"/>
    </row>
    <row r="588" spans="2:14" ht="15.6" x14ac:dyDescent="0.3">
      <c r="B588" s="31"/>
      <c r="C588" s="31"/>
      <c r="M588" s="25"/>
      <c r="N588" s="25"/>
    </row>
    <row r="589" spans="2:14" ht="15.6" x14ac:dyDescent="0.3">
      <c r="B589" s="31"/>
      <c r="C589" s="31"/>
      <c r="M589" s="25"/>
      <c r="N589" s="25"/>
    </row>
    <row r="590" spans="2:14" ht="15.6" x14ac:dyDescent="0.3">
      <c r="B590" s="31"/>
      <c r="C590" s="31"/>
      <c r="M590" s="25"/>
      <c r="N590" s="25"/>
    </row>
    <row r="591" spans="2:14" ht="15.6" x14ac:dyDescent="0.3">
      <c r="B591" s="31"/>
      <c r="C591" s="31"/>
      <c r="M591" s="25"/>
      <c r="N591" s="25"/>
    </row>
    <row r="592" spans="2:14" ht="15.6" x14ac:dyDescent="0.3">
      <c r="B592" s="31"/>
      <c r="C592" s="31"/>
      <c r="M592" s="25"/>
      <c r="N592" s="25"/>
    </row>
    <row r="593" spans="2:14" ht="15.6" x14ac:dyDescent="0.3">
      <c r="B593" s="31"/>
      <c r="C593" s="31"/>
      <c r="M593" s="25"/>
      <c r="N593" s="25"/>
    </row>
    <row r="594" spans="2:14" ht="15.6" x14ac:dyDescent="0.3">
      <c r="B594" s="31"/>
      <c r="C594" s="31"/>
      <c r="M594" s="25"/>
      <c r="N594" s="25"/>
    </row>
    <row r="595" spans="2:14" ht="15.6" x14ac:dyDescent="0.3">
      <c r="B595" s="31"/>
      <c r="C595" s="31"/>
      <c r="M595" s="25"/>
      <c r="N595" s="25"/>
    </row>
    <row r="596" spans="2:14" ht="15.6" x14ac:dyDescent="0.3">
      <c r="B596" s="31"/>
      <c r="C596" s="31"/>
      <c r="M596" s="25"/>
      <c r="N596" s="25"/>
    </row>
    <row r="597" spans="2:14" ht="15.6" x14ac:dyDescent="0.3">
      <c r="B597" s="31"/>
      <c r="C597" s="31"/>
      <c r="M597" s="25"/>
      <c r="N597" s="25"/>
    </row>
    <row r="598" spans="2:14" ht="15.6" x14ac:dyDescent="0.3">
      <c r="B598" s="31"/>
      <c r="C598" s="31"/>
      <c r="M598" s="25"/>
      <c r="N598" s="25"/>
    </row>
    <row r="599" spans="2:14" ht="15.6" x14ac:dyDescent="0.3">
      <c r="B599" s="31"/>
      <c r="C599" s="31"/>
      <c r="M599" s="25"/>
      <c r="N599" s="25"/>
    </row>
    <row r="600" spans="2:14" ht="15.6" x14ac:dyDescent="0.3">
      <c r="B600" s="31"/>
      <c r="C600" s="31"/>
      <c r="M600" s="25"/>
      <c r="N600" s="25"/>
    </row>
    <row r="601" spans="2:14" ht="15.6" x14ac:dyDescent="0.3">
      <c r="B601" s="31"/>
      <c r="C601" s="31"/>
      <c r="M601" s="25"/>
      <c r="N601" s="25"/>
    </row>
    <row r="602" spans="2:14" ht="15.6" x14ac:dyDescent="0.3">
      <c r="B602" s="31"/>
      <c r="C602" s="31"/>
      <c r="M602" s="25"/>
      <c r="N602" s="25"/>
    </row>
    <row r="603" spans="2:14" ht="15.6" x14ac:dyDescent="0.3">
      <c r="B603" s="31"/>
      <c r="C603" s="31"/>
      <c r="M603" s="25"/>
      <c r="N603" s="25"/>
    </row>
    <row r="604" spans="2:14" ht="15.6" x14ac:dyDescent="0.3">
      <c r="B604" s="31"/>
      <c r="C604" s="31"/>
      <c r="M604" s="25"/>
      <c r="N604" s="25"/>
    </row>
    <row r="605" spans="2:14" ht="15.6" x14ac:dyDescent="0.3">
      <c r="B605" s="31"/>
      <c r="C605" s="31"/>
      <c r="M605" s="25"/>
      <c r="N605" s="25"/>
    </row>
    <row r="606" spans="2:14" ht="15.6" x14ac:dyDescent="0.3">
      <c r="B606" s="31"/>
      <c r="C606" s="31"/>
      <c r="M606" s="25"/>
      <c r="N606" s="25"/>
    </row>
    <row r="607" spans="2:14" ht="15.6" x14ac:dyDescent="0.3">
      <c r="B607" s="31"/>
      <c r="C607" s="31"/>
      <c r="M607" s="25"/>
      <c r="N607" s="25"/>
    </row>
    <row r="608" spans="2:14" ht="15.6" x14ac:dyDescent="0.3">
      <c r="B608" s="31"/>
      <c r="C608" s="31"/>
      <c r="M608" s="25"/>
      <c r="N608" s="25"/>
    </row>
    <row r="609" spans="2:14" ht="15.6" x14ac:dyDescent="0.3">
      <c r="B609" s="31"/>
      <c r="C609" s="31"/>
      <c r="M609" s="25"/>
      <c r="N609" s="25"/>
    </row>
    <row r="610" spans="2:14" ht="15.6" x14ac:dyDescent="0.3">
      <c r="B610" s="31"/>
      <c r="C610" s="31"/>
      <c r="M610" s="25"/>
      <c r="N610" s="25"/>
    </row>
    <row r="611" spans="2:14" ht="15.6" x14ac:dyDescent="0.3">
      <c r="B611" s="31"/>
      <c r="C611" s="31"/>
      <c r="M611" s="25"/>
      <c r="N611" s="25"/>
    </row>
    <row r="612" spans="2:14" ht="15.6" x14ac:dyDescent="0.3">
      <c r="B612" s="31"/>
      <c r="C612" s="31"/>
      <c r="M612" s="25"/>
      <c r="N612" s="25"/>
    </row>
    <row r="613" spans="2:14" ht="15.6" x14ac:dyDescent="0.3">
      <c r="B613" s="31"/>
      <c r="C613" s="31"/>
      <c r="M613" s="25"/>
      <c r="N613" s="25"/>
    </row>
    <row r="614" spans="2:14" ht="15.6" x14ac:dyDescent="0.3">
      <c r="B614" s="31"/>
      <c r="C614" s="31"/>
      <c r="M614" s="25"/>
      <c r="N614" s="25"/>
    </row>
    <row r="615" spans="2:14" ht="15.6" x14ac:dyDescent="0.3">
      <c r="B615" s="31"/>
      <c r="C615" s="31"/>
      <c r="M615" s="25"/>
      <c r="N615" s="25"/>
    </row>
    <row r="616" spans="2:14" ht="15.6" x14ac:dyDescent="0.3">
      <c r="B616" s="31"/>
      <c r="C616" s="31"/>
      <c r="M616" s="25"/>
      <c r="N616" s="25"/>
    </row>
    <row r="617" spans="2:14" ht="15.6" x14ac:dyDescent="0.3">
      <c r="B617" s="31"/>
      <c r="C617" s="31"/>
      <c r="M617" s="25"/>
      <c r="N617" s="25"/>
    </row>
    <row r="618" spans="2:14" ht="15.6" x14ac:dyDescent="0.3">
      <c r="B618" s="31"/>
      <c r="C618" s="31"/>
      <c r="M618" s="25"/>
      <c r="N618" s="25"/>
    </row>
    <row r="619" spans="2:14" ht="15.6" x14ac:dyDescent="0.3">
      <c r="B619" s="31"/>
      <c r="C619" s="31"/>
      <c r="M619" s="25"/>
      <c r="N619" s="25"/>
    </row>
    <row r="620" spans="2:14" ht="15.6" x14ac:dyDescent="0.3">
      <c r="B620" s="31"/>
      <c r="C620" s="31"/>
      <c r="M620" s="25"/>
      <c r="N620" s="25"/>
    </row>
    <row r="621" spans="2:14" ht="15.6" x14ac:dyDescent="0.3">
      <c r="B621" s="31"/>
      <c r="C621" s="31"/>
      <c r="M621" s="25"/>
      <c r="N621" s="25"/>
    </row>
    <row r="622" spans="2:14" ht="15.6" x14ac:dyDescent="0.3">
      <c r="B622" s="31"/>
      <c r="C622" s="31"/>
      <c r="M622" s="25"/>
      <c r="N622" s="25"/>
    </row>
    <row r="623" spans="2:14" ht="15.6" x14ac:dyDescent="0.3">
      <c r="B623" s="31"/>
      <c r="C623" s="31"/>
      <c r="M623" s="25"/>
      <c r="N623" s="25"/>
    </row>
    <row r="624" spans="2:14" ht="15.6" x14ac:dyDescent="0.3">
      <c r="B624" s="31"/>
      <c r="C624" s="31"/>
      <c r="M624" s="25"/>
      <c r="N624" s="25"/>
    </row>
    <row r="625" spans="2:14" ht="15.6" x14ac:dyDescent="0.3">
      <c r="B625" s="31"/>
      <c r="C625" s="31"/>
      <c r="M625" s="25"/>
      <c r="N625" s="25"/>
    </row>
    <row r="626" spans="2:14" ht="15.6" x14ac:dyDescent="0.3">
      <c r="B626" s="31"/>
      <c r="C626" s="31"/>
      <c r="M626" s="25"/>
      <c r="N626" s="25"/>
    </row>
    <row r="627" spans="2:14" ht="15.6" x14ac:dyDescent="0.3">
      <c r="B627" s="31"/>
      <c r="C627" s="31"/>
      <c r="M627" s="25"/>
      <c r="N627" s="25"/>
    </row>
    <row r="628" spans="2:14" ht="15.6" x14ac:dyDescent="0.3">
      <c r="B628" s="31"/>
      <c r="C628" s="31"/>
      <c r="M628" s="25"/>
      <c r="N628" s="25"/>
    </row>
    <row r="629" spans="2:14" ht="15.6" x14ac:dyDescent="0.3">
      <c r="B629" s="31"/>
      <c r="C629" s="31"/>
      <c r="M629" s="25"/>
      <c r="N629" s="25"/>
    </row>
    <row r="630" spans="2:14" ht="15.6" x14ac:dyDescent="0.3">
      <c r="B630" s="31"/>
      <c r="C630" s="31"/>
      <c r="M630" s="25"/>
      <c r="N630" s="25"/>
    </row>
    <row r="631" spans="2:14" ht="15.6" x14ac:dyDescent="0.3">
      <c r="B631" s="31"/>
      <c r="C631" s="31"/>
      <c r="M631" s="25"/>
      <c r="N631" s="25"/>
    </row>
    <row r="632" spans="2:14" ht="15.6" x14ac:dyDescent="0.3">
      <c r="B632" s="31"/>
      <c r="C632" s="31"/>
      <c r="M632" s="25"/>
      <c r="N632" s="25"/>
    </row>
    <row r="633" spans="2:14" ht="15.6" x14ac:dyDescent="0.3">
      <c r="B633" s="31"/>
      <c r="C633" s="31"/>
      <c r="M633" s="25"/>
      <c r="N633" s="25"/>
    </row>
    <row r="634" spans="2:14" ht="15.6" x14ac:dyDescent="0.3">
      <c r="B634" s="31"/>
      <c r="C634" s="31"/>
      <c r="M634" s="25"/>
      <c r="N634" s="25"/>
    </row>
    <row r="635" spans="2:14" ht="15.6" x14ac:dyDescent="0.3">
      <c r="B635" s="31"/>
      <c r="C635" s="31"/>
      <c r="M635" s="25"/>
      <c r="N635" s="25"/>
    </row>
    <row r="636" spans="2:14" ht="15.6" x14ac:dyDescent="0.3">
      <c r="B636" s="31"/>
      <c r="C636" s="31"/>
      <c r="M636" s="25"/>
      <c r="N636" s="25"/>
    </row>
    <row r="637" spans="2:14" ht="15.6" x14ac:dyDescent="0.3">
      <c r="B637" s="31"/>
      <c r="C637" s="31"/>
      <c r="M637" s="25"/>
      <c r="N637" s="25"/>
    </row>
    <row r="638" spans="2:14" ht="15.6" x14ac:dyDescent="0.3">
      <c r="B638" s="31"/>
      <c r="C638" s="31"/>
      <c r="M638" s="25"/>
      <c r="N638" s="25"/>
    </row>
    <row r="639" spans="2:14" ht="15.6" x14ac:dyDescent="0.3">
      <c r="B639" s="31"/>
      <c r="C639" s="31"/>
      <c r="M639" s="25"/>
      <c r="N639" s="25"/>
    </row>
    <row r="640" spans="2:14" ht="15.6" x14ac:dyDescent="0.3">
      <c r="B640" s="31"/>
      <c r="C640" s="31"/>
      <c r="M640" s="25"/>
      <c r="N640" s="25"/>
    </row>
    <row r="641" spans="2:14" ht="15.6" x14ac:dyDescent="0.3">
      <c r="B641" s="31"/>
      <c r="C641" s="31"/>
      <c r="M641" s="25"/>
      <c r="N641" s="25"/>
    </row>
    <row r="642" spans="2:14" ht="15.6" x14ac:dyDescent="0.3">
      <c r="B642" s="31"/>
      <c r="C642" s="31"/>
      <c r="M642" s="25"/>
      <c r="N642" s="25"/>
    </row>
    <row r="643" spans="2:14" ht="15.6" x14ac:dyDescent="0.3">
      <c r="B643" s="31"/>
      <c r="C643" s="31"/>
      <c r="M643" s="25"/>
      <c r="N643" s="25"/>
    </row>
    <row r="644" spans="2:14" ht="15.6" x14ac:dyDescent="0.3">
      <c r="B644" s="31"/>
      <c r="C644" s="31"/>
      <c r="M644" s="25"/>
      <c r="N644" s="25"/>
    </row>
    <row r="645" spans="2:14" ht="15.6" x14ac:dyDescent="0.3">
      <c r="B645" s="31"/>
      <c r="C645" s="31"/>
      <c r="M645" s="25"/>
      <c r="N645" s="25"/>
    </row>
    <row r="646" spans="2:14" ht="15.6" x14ac:dyDescent="0.3">
      <c r="B646" s="31"/>
      <c r="C646" s="31"/>
      <c r="M646" s="25"/>
      <c r="N646" s="25"/>
    </row>
    <row r="647" spans="2:14" ht="15.6" x14ac:dyDescent="0.3">
      <c r="B647" s="31"/>
      <c r="C647" s="31"/>
      <c r="M647" s="25"/>
      <c r="N647" s="25"/>
    </row>
    <row r="648" spans="2:14" ht="15.6" x14ac:dyDescent="0.3">
      <c r="B648" s="31"/>
      <c r="C648" s="31"/>
      <c r="M648" s="25"/>
      <c r="N648" s="25"/>
    </row>
    <row r="649" spans="2:14" ht="15.6" x14ac:dyDescent="0.3">
      <c r="B649" s="31"/>
      <c r="C649" s="31"/>
      <c r="M649" s="25"/>
      <c r="N649" s="25"/>
    </row>
    <row r="650" spans="2:14" ht="15.6" x14ac:dyDescent="0.3">
      <c r="B650" s="31"/>
      <c r="C650" s="31"/>
      <c r="M650" s="25"/>
      <c r="N650" s="25"/>
    </row>
    <row r="651" spans="2:14" ht="15.6" x14ac:dyDescent="0.3">
      <c r="B651" s="31"/>
      <c r="C651" s="31"/>
      <c r="M651" s="25"/>
      <c r="N651" s="25"/>
    </row>
    <row r="652" spans="2:14" ht="15.6" x14ac:dyDescent="0.3">
      <c r="B652" s="31"/>
      <c r="C652" s="31"/>
      <c r="M652" s="25"/>
      <c r="N652" s="25"/>
    </row>
    <row r="653" spans="2:14" ht="15.6" x14ac:dyDescent="0.3">
      <c r="B653" s="31"/>
      <c r="C653" s="31"/>
      <c r="M653" s="25"/>
      <c r="N653" s="25"/>
    </row>
    <row r="654" spans="2:14" ht="15.6" x14ac:dyDescent="0.3">
      <c r="B654" s="31"/>
      <c r="C654" s="31"/>
      <c r="M654" s="25"/>
      <c r="N654" s="25"/>
    </row>
    <row r="655" spans="2:14" ht="15.6" x14ac:dyDescent="0.3">
      <c r="B655" s="31"/>
      <c r="C655" s="31"/>
      <c r="M655" s="25"/>
      <c r="N655" s="25"/>
    </row>
    <row r="656" spans="2:14" ht="15.6" x14ac:dyDescent="0.3">
      <c r="B656" s="31"/>
      <c r="C656" s="31"/>
      <c r="M656" s="25"/>
      <c r="N656" s="25"/>
    </row>
    <row r="657" spans="2:14" ht="15.6" x14ac:dyDescent="0.3">
      <c r="B657" s="31"/>
      <c r="C657" s="31"/>
      <c r="M657" s="25"/>
      <c r="N657" s="25"/>
    </row>
    <row r="658" spans="2:14" ht="15.6" x14ac:dyDescent="0.3">
      <c r="B658" s="31"/>
      <c r="C658" s="31"/>
      <c r="M658" s="25"/>
      <c r="N658" s="25"/>
    </row>
    <row r="659" spans="2:14" ht="15.6" x14ac:dyDescent="0.3">
      <c r="B659" s="31"/>
      <c r="C659" s="31"/>
      <c r="M659" s="25"/>
      <c r="N659" s="25"/>
    </row>
    <row r="660" spans="2:14" ht="15.6" x14ac:dyDescent="0.3">
      <c r="B660" s="31"/>
      <c r="C660" s="31"/>
      <c r="M660" s="25"/>
      <c r="N660" s="25"/>
    </row>
    <row r="661" spans="2:14" ht="15.6" x14ac:dyDescent="0.3">
      <c r="B661" s="31"/>
      <c r="C661" s="31"/>
      <c r="M661" s="25"/>
      <c r="N661" s="25"/>
    </row>
    <row r="662" spans="2:14" ht="15.6" x14ac:dyDescent="0.3">
      <c r="B662" s="31"/>
      <c r="C662" s="31"/>
      <c r="M662" s="25"/>
      <c r="N662" s="25"/>
    </row>
    <row r="663" spans="2:14" ht="15.6" x14ac:dyDescent="0.3">
      <c r="B663" s="31"/>
      <c r="C663" s="31"/>
      <c r="M663" s="25"/>
      <c r="N663" s="25"/>
    </row>
    <row r="664" spans="2:14" ht="15.6" x14ac:dyDescent="0.3">
      <c r="B664" s="31"/>
      <c r="C664" s="31"/>
      <c r="M664" s="25"/>
      <c r="N664" s="25"/>
    </row>
    <row r="665" spans="2:14" ht="15.6" x14ac:dyDescent="0.3">
      <c r="B665" s="31"/>
      <c r="C665" s="31"/>
      <c r="M665" s="25"/>
      <c r="N665" s="25"/>
    </row>
    <row r="666" spans="2:14" ht="15.6" x14ac:dyDescent="0.3">
      <c r="B666" s="31"/>
      <c r="C666" s="31"/>
      <c r="M666" s="25"/>
      <c r="N666" s="25"/>
    </row>
    <row r="667" spans="2:14" ht="15.6" x14ac:dyDescent="0.3">
      <c r="B667" s="31"/>
      <c r="C667" s="31"/>
      <c r="M667" s="25"/>
      <c r="N667" s="25"/>
    </row>
    <row r="668" spans="2:14" ht="15.6" x14ac:dyDescent="0.3">
      <c r="B668" s="31"/>
      <c r="C668" s="31"/>
      <c r="M668" s="25"/>
      <c r="N668" s="25"/>
    </row>
    <row r="669" spans="2:14" ht="15.6" x14ac:dyDescent="0.3">
      <c r="B669" s="31"/>
      <c r="C669" s="31"/>
      <c r="M669" s="25"/>
      <c r="N669" s="25"/>
    </row>
    <row r="670" spans="2:14" ht="15.6" x14ac:dyDescent="0.3">
      <c r="B670" s="31"/>
      <c r="C670" s="31"/>
      <c r="M670" s="25"/>
      <c r="N670" s="25"/>
    </row>
    <row r="671" spans="2:14" ht="15.6" x14ac:dyDescent="0.3">
      <c r="B671" s="31"/>
      <c r="C671" s="31"/>
      <c r="M671" s="25"/>
      <c r="N671" s="25"/>
    </row>
    <row r="672" spans="2:14" ht="15.6" x14ac:dyDescent="0.3">
      <c r="B672" s="31"/>
      <c r="C672" s="31"/>
      <c r="M672" s="25"/>
      <c r="N672" s="25"/>
    </row>
    <row r="673" spans="2:14" ht="15.6" x14ac:dyDescent="0.3">
      <c r="B673" s="31"/>
      <c r="C673" s="31"/>
      <c r="M673" s="25"/>
      <c r="N673" s="25"/>
    </row>
    <row r="674" spans="2:14" ht="15.6" x14ac:dyDescent="0.3">
      <c r="B674" s="31"/>
      <c r="C674" s="31"/>
      <c r="M674" s="25"/>
      <c r="N674" s="25"/>
    </row>
    <row r="675" spans="2:14" ht="15.6" x14ac:dyDescent="0.3">
      <c r="B675" s="31"/>
      <c r="C675" s="31"/>
      <c r="M675" s="25"/>
      <c r="N675" s="25"/>
    </row>
    <row r="676" spans="2:14" ht="15.6" x14ac:dyDescent="0.3">
      <c r="B676" s="31"/>
      <c r="C676" s="31"/>
      <c r="M676" s="25"/>
      <c r="N676" s="25"/>
    </row>
    <row r="677" spans="2:14" ht="15.6" x14ac:dyDescent="0.3">
      <c r="B677" s="31"/>
      <c r="C677" s="31"/>
      <c r="M677" s="25"/>
      <c r="N677" s="25"/>
    </row>
    <row r="678" spans="2:14" ht="15.6" x14ac:dyDescent="0.3">
      <c r="B678" s="31"/>
      <c r="C678" s="31"/>
      <c r="M678" s="25"/>
      <c r="N678" s="25"/>
    </row>
    <row r="679" spans="2:14" ht="15.6" x14ac:dyDescent="0.3">
      <c r="B679" s="31"/>
      <c r="C679" s="31"/>
      <c r="M679" s="25"/>
      <c r="N679" s="25"/>
    </row>
    <row r="680" spans="2:14" ht="15.6" x14ac:dyDescent="0.3">
      <c r="B680" s="31"/>
      <c r="C680" s="31"/>
      <c r="M680" s="25"/>
      <c r="N680" s="25"/>
    </row>
    <row r="681" spans="2:14" ht="15.6" x14ac:dyDescent="0.3">
      <c r="B681" s="31"/>
      <c r="C681" s="31"/>
      <c r="M681" s="25"/>
      <c r="N681" s="25"/>
    </row>
    <row r="682" spans="2:14" ht="15.6" x14ac:dyDescent="0.3">
      <c r="B682" s="31"/>
      <c r="C682" s="31"/>
      <c r="M682" s="25"/>
      <c r="N682" s="25"/>
    </row>
    <row r="683" spans="2:14" ht="15.6" x14ac:dyDescent="0.3">
      <c r="B683" s="31"/>
      <c r="C683" s="31"/>
      <c r="M683" s="25"/>
      <c r="N683" s="25"/>
    </row>
    <row r="684" spans="2:14" ht="15.6" x14ac:dyDescent="0.3">
      <c r="B684" s="31"/>
      <c r="C684" s="31"/>
      <c r="M684" s="25"/>
      <c r="N684" s="25"/>
    </row>
    <row r="685" spans="2:14" ht="15.6" x14ac:dyDescent="0.3">
      <c r="B685" s="31"/>
      <c r="C685" s="31"/>
      <c r="M685" s="25"/>
      <c r="N685" s="25"/>
    </row>
    <row r="686" spans="2:14" ht="15.6" x14ac:dyDescent="0.3">
      <c r="B686" s="31"/>
      <c r="C686" s="31"/>
      <c r="M686" s="25"/>
      <c r="N686" s="25"/>
    </row>
    <row r="687" spans="2:14" ht="15.6" x14ac:dyDescent="0.3">
      <c r="B687" s="31"/>
      <c r="C687" s="31"/>
      <c r="M687" s="25"/>
      <c r="N687" s="25"/>
    </row>
    <row r="688" spans="2:14" ht="15.6" x14ac:dyDescent="0.3">
      <c r="B688" s="31"/>
      <c r="C688" s="31"/>
      <c r="M688" s="25"/>
      <c r="N688" s="25"/>
    </row>
    <row r="689" spans="2:14" ht="15.6" x14ac:dyDescent="0.3">
      <c r="B689" s="31"/>
      <c r="C689" s="31"/>
      <c r="M689" s="25"/>
      <c r="N689" s="25"/>
    </row>
    <row r="690" spans="2:14" ht="15.6" x14ac:dyDescent="0.3">
      <c r="B690" s="31"/>
      <c r="C690" s="31"/>
      <c r="M690" s="25"/>
      <c r="N690" s="25"/>
    </row>
    <row r="691" spans="2:14" ht="15.6" x14ac:dyDescent="0.3">
      <c r="B691" s="31"/>
      <c r="C691" s="31"/>
      <c r="M691" s="25"/>
      <c r="N691" s="25"/>
    </row>
    <row r="692" spans="2:14" ht="15.6" x14ac:dyDescent="0.3">
      <c r="B692" s="31"/>
      <c r="C692" s="31"/>
      <c r="M692" s="25"/>
      <c r="N692" s="25"/>
    </row>
    <row r="693" spans="2:14" ht="15.6" x14ac:dyDescent="0.3">
      <c r="B693" s="31"/>
      <c r="C693" s="31"/>
      <c r="M693" s="25"/>
      <c r="N693" s="25"/>
    </row>
    <row r="694" spans="2:14" ht="15.6" x14ac:dyDescent="0.3">
      <c r="B694" s="31"/>
      <c r="C694" s="31"/>
      <c r="M694" s="25"/>
      <c r="N694" s="25"/>
    </row>
    <row r="695" spans="2:14" ht="15.6" x14ac:dyDescent="0.3">
      <c r="B695" s="31"/>
      <c r="C695" s="31"/>
      <c r="M695" s="25"/>
      <c r="N695" s="25"/>
    </row>
    <row r="696" spans="2:14" ht="15.6" x14ac:dyDescent="0.3">
      <c r="B696" s="31"/>
      <c r="C696" s="31"/>
      <c r="M696" s="25"/>
      <c r="N696" s="25"/>
    </row>
    <row r="697" spans="2:14" ht="15.6" x14ac:dyDescent="0.3">
      <c r="B697" s="31"/>
      <c r="C697" s="31"/>
      <c r="M697" s="25"/>
      <c r="N697" s="25"/>
    </row>
    <row r="698" spans="2:14" ht="15.6" x14ac:dyDescent="0.3">
      <c r="B698" s="31"/>
      <c r="C698" s="31"/>
      <c r="M698" s="25"/>
      <c r="N698" s="25"/>
    </row>
    <row r="699" spans="2:14" ht="15.6" x14ac:dyDescent="0.3">
      <c r="B699" s="31"/>
      <c r="C699" s="31"/>
      <c r="M699" s="25"/>
      <c r="N699" s="25"/>
    </row>
    <row r="700" spans="2:14" ht="15.6" x14ac:dyDescent="0.3">
      <c r="B700" s="31"/>
      <c r="C700" s="31"/>
      <c r="M700" s="25"/>
      <c r="N700" s="25"/>
    </row>
    <row r="701" spans="2:14" ht="15.6" x14ac:dyDescent="0.3">
      <c r="B701" s="31"/>
      <c r="C701" s="31"/>
      <c r="M701" s="25"/>
      <c r="N701" s="25"/>
    </row>
    <row r="702" spans="2:14" ht="15.6" x14ac:dyDescent="0.3">
      <c r="B702" s="31"/>
      <c r="C702" s="31"/>
      <c r="M702" s="25"/>
      <c r="N702" s="25"/>
    </row>
    <row r="703" spans="2:14" ht="15.6" x14ac:dyDescent="0.3">
      <c r="B703" s="31"/>
      <c r="C703" s="31"/>
      <c r="M703" s="25"/>
      <c r="N703" s="25"/>
    </row>
    <row r="704" spans="2:14" ht="15.6" x14ac:dyDescent="0.3">
      <c r="B704" s="31"/>
      <c r="C704" s="31"/>
      <c r="M704" s="25"/>
      <c r="N704" s="25"/>
    </row>
    <row r="705" spans="2:14" ht="15.6" x14ac:dyDescent="0.3">
      <c r="B705" s="31"/>
      <c r="C705" s="31"/>
      <c r="M705" s="25"/>
      <c r="N705" s="25"/>
    </row>
    <row r="706" spans="2:14" ht="15.6" x14ac:dyDescent="0.3">
      <c r="B706" s="31"/>
      <c r="C706" s="31"/>
      <c r="M706" s="25"/>
      <c r="N706" s="25"/>
    </row>
    <row r="707" spans="2:14" ht="15.6" x14ac:dyDescent="0.3">
      <c r="B707" s="31"/>
      <c r="C707" s="31"/>
      <c r="M707" s="25"/>
      <c r="N707" s="25"/>
    </row>
    <row r="708" spans="2:14" ht="15.6" x14ac:dyDescent="0.3">
      <c r="B708" s="31"/>
      <c r="C708" s="31"/>
      <c r="M708" s="25"/>
      <c r="N708" s="25"/>
    </row>
    <row r="709" spans="2:14" ht="15.6" x14ac:dyDescent="0.3">
      <c r="B709" s="31"/>
      <c r="C709" s="31"/>
      <c r="M709" s="25"/>
      <c r="N709" s="25"/>
    </row>
    <row r="710" spans="2:14" ht="15.6" x14ac:dyDescent="0.3">
      <c r="B710" s="31"/>
      <c r="C710" s="31"/>
      <c r="M710" s="25"/>
      <c r="N710" s="25"/>
    </row>
    <row r="711" spans="2:14" ht="15.6" x14ac:dyDescent="0.3">
      <c r="B711" s="31"/>
      <c r="C711" s="31"/>
      <c r="M711" s="25"/>
      <c r="N711" s="25"/>
    </row>
    <row r="712" spans="2:14" ht="15.6" x14ac:dyDescent="0.3">
      <c r="B712" s="31"/>
      <c r="C712" s="31"/>
      <c r="M712" s="25"/>
      <c r="N712" s="25"/>
    </row>
    <row r="713" spans="2:14" ht="15.6" x14ac:dyDescent="0.3">
      <c r="B713" s="31"/>
      <c r="C713" s="31"/>
      <c r="M713" s="25"/>
      <c r="N713" s="25"/>
    </row>
    <row r="714" spans="2:14" ht="15.6" x14ac:dyDescent="0.3">
      <c r="B714" s="31"/>
      <c r="C714" s="31"/>
      <c r="M714" s="25"/>
      <c r="N714" s="25"/>
    </row>
    <row r="715" spans="2:14" ht="15.6" x14ac:dyDescent="0.3">
      <c r="B715" s="31"/>
      <c r="C715" s="31"/>
      <c r="M715" s="25"/>
      <c r="N715" s="25"/>
    </row>
    <row r="716" spans="2:14" ht="15.6" x14ac:dyDescent="0.3">
      <c r="B716" s="31"/>
      <c r="C716" s="31"/>
      <c r="M716" s="25"/>
      <c r="N716" s="25"/>
    </row>
    <row r="717" spans="2:14" ht="15.6" x14ac:dyDescent="0.3">
      <c r="B717" s="31"/>
      <c r="C717" s="31"/>
      <c r="M717" s="25"/>
      <c r="N717" s="25"/>
    </row>
    <row r="718" spans="2:14" ht="15.6" x14ac:dyDescent="0.3">
      <c r="B718" s="31"/>
      <c r="C718" s="31"/>
      <c r="M718" s="25"/>
      <c r="N718" s="25"/>
    </row>
    <row r="719" spans="2:14" ht="15.6" x14ac:dyDescent="0.3">
      <c r="B719" s="31"/>
      <c r="C719" s="31"/>
      <c r="M719" s="25"/>
      <c r="N719" s="25"/>
    </row>
    <row r="720" spans="2:14" ht="15.6" x14ac:dyDescent="0.3">
      <c r="B720" s="31"/>
      <c r="C720" s="31"/>
      <c r="M720" s="25"/>
      <c r="N720" s="25"/>
    </row>
    <row r="721" spans="2:14" ht="15.6" x14ac:dyDescent="0.3">
      <c r="B721" s="31"/>
      <c r="C721" s="31"/>
      <c r="M721" s="25"/>
      <c r="N721" s="25"/>
    </row>
    <row r="722" spans="2:14" ht="15.6" x14ac:dyDescent="0.3">
      <c r="B722" s="31"/>
      <c r="C722" s="31"/>
      <c r="M722" s="25"/>
      <c r="N722" s="25"/>
    </row>
    <row r="723" spans="2:14" ht="15.6" x14ac:dyDescent="0.3">
      <c r="B723" s="31"/>
      <c r="C723" s="31"/>
      <c r="M723" s="25"/>
      <c r="N723" s="25"/>
    </row>
    <row r="724" spans="2:14" ht="15.6" x14ac:dyDescent="0.3">
      <c r="B724" s="31"/>
      <c r="C724" s="31"/>
      <c r="M724" s="25"/>
      <c r="N724" s="25"/>
    </row>
    <row r="725" spans="2:14" ht="15.6" x14ac:dyDescent="0.3">
      <c r="B725" s="31"/>
      <c r="C725" s="31"/>
      <c r="M725" s="25"/>
      <c r="N725" s="25"/>
    </row>
    <row r="726" spans="2:14" ht="15.6" x14ac:dyDescent="0.3">
      <c r="B726" s="31"/>
      <c r="C726" s="31"/>
      <c r="M726" s="25"/>
      <c r="N726" s="25"/>
    </row>
    <row r="727" spans="2:14" ht="15.6" x14ac:dyDescent="0.3">
      <c r="B727" s="31"/>
      <c r="C727" s="31"/>
      <c r="M727" s="25"/>
      <c r="N727" s="25"/>
    </row>
    <row r="728" spans="2:14" ht="15.6" x14ac:dyDescent="0.3">
      <c r="B728" s="31"/>
      <c r="C728" s="31"/>
      <c r="M728" s="25"/>
      <c r="N728" s="25"/>
    </row>
    <row r="729" spans="2:14" ht="15.6" x14ac:dyDescent="0.3">
      <c r="B729" s="31"/>
      <c r="C729" s="31"/>
      <c r="M729" s="25"/>
      <c r="N729" s="25"/>
    </row>
    <row r="730" spans="2:14" ht="15.6" x14ac:dyDescent="0.3">
      <c r="B730" s="31"/>
      <c r="C730" s="31"/>
      <c r="M730" s="25"/>
      <c r="N730" s="25"/>
    </row>
    <row r="731" spans="2:14" ht="15.6" x14ac:dyDescent="0.3">
      <c r="B731" s="31"/>
      <c r="C731" s="31"/>
      <c r="M731" s="25"/>
      <c r="N731" s="25"/>
    </row>
    <row r="732" spans="2:14" ht="15.6" x14ac:dyDescent="0.3">
      <c r="B732" s="31"/>
      <c r="C732" s="31"/>
      <c r="M732" s="25"/>
      <c r="N732" s="25"/>
    </row>
    <row r="733" spans="2:14" ht="15.6" x14ac:dyDescent="0.3">
      <c r="B733" s="31"/>
      <c r="C733" s="31"/>
      <c r="M733" s="25"/>
      <c r="N733" s="25"/>
    </row>
    <row r="734" spans="2:14" ht="15.6" x14ac:dyDescent="0.3">
      <c r="B734" s="31"/>
      <c r="C734" s="31"/>
      <c r="M734" s="25"/>
      <c r="N734" s="25"/>
    </row>
    <row r="735" spans="2:14" ht="15.6" x14ac:dyDescent="0.3">
      <c r="B735" s="31"/>
      <c r="C735" s="31"/>
      <c r="M735" s="25"/>
      <c r="N735" s="25"/>
    </row>
    <row r="736" spans="2:14" ht="15.6" x14ac:dyDescent="0.3">
      <c r="B736" s="31"/>
      <c r="C736" s="31"/>
      <c r="M736" s="25"/>
      <c r="N736" s="25"/>
    </row>
    <row r="737" spans="2:14" ht="15.6" x14ac:dyDescent="0.3">
      <c r="B737" s="31"/>
      <c r="C737" s="31"/>
      <c r="M737" s="25"/>
      <c r="N737" s="25"/>
    </row>
    <row r="738" spans="2:14" ht="15.6" x14ac:dyDescent="0.3">
      <c r="B738" s="31"/>
      <c r="C738" s="31"/>
      <c r="M738" s="25"/>
      <c r="N738" s="25"/>
    </row>
    <row r="739" spans="2:14" ht="15.6" x14ac:dyDescent="0.3">
      <c r="B739" s="31"/>
      <c r="C739" s="31"/>
      <c r="M739" s="25"/>
      <c r="N739" s="25"/>
    </row>
    <row r="740" spans="2:14" ht="15.6" x14ac:dyDescent="0.3">
      <c r="B740" s="31"/>
      <c r="C740" s="31"/>
      <c r="M740" s="25"/>
      <c r="N740" s="25"/>
    </row>
    <row r="741" spans="2:14" ht="15.6" x14ac:dyDescent="0.3">
      <c r="B741" s="31"/>
      <c r="C741" s="31"/>
      <c r="M741" s="25"/>
      <c r="N741" s="25"/>
    </row>
    <row r="742" spans="2:14" ht="15.6" x14ac:dyDescent="0.3">
      <c r="B742" s="31"/>
      <c r="C742" s="31"/>
      <c r="M742" s="25"/>
      <c r="N742" s="25"/>
    </row>
    <row r="743" spans="2:14" ht="15.6" x14ac:dyDescent="0.3">
      <c r="B743" s="31"/>
      <c r="C743" s="31"/>
      <c r="M743" s="25"/>
      <c r="N743" s="25"/>
    </row>
    <row r="744" spans="2:14" ht="15.6" x14ac:dyDescent="0.3">
      <c r="B744" s="31"/>
      <c r="C744" s="31"/>
      <c r="M744" s="25"/>
      <c r="N744" s="25"/>
    </row>
    <row r="745" spans="2:14" ht="15.6" x14ac:dyDescent="0.3">
      <c r="B745" s="31"/>
      <c r="C745" s="31"/>
      <c r="M745" s="25"/>
      <c r="N745" s="25"/>
    </row>
    <row r="746" spans="2:14" ht="15.6" x14ac:dyDescent="0.3">
      <c r="B746" s="31"/>
      <c r="C746" s="31"/>
      <c r="M746" s="25"/>
      <c r="N746" s="25"/>
    </row>
    <row r="747" spans="2:14" ht="15.6" x14ac:dyDescent="0.3">
      <c r="B747" s="31"/>
      <c r="C747" s="31"/>
      <c r="M747" s="25"/>
      <c r="N747" s="25"/>
    </row>
    <row r="748" spans="2:14" ht="15.6" x14ac:dyDescent="0.3">
      <c r="B748" s="31"/>
      <c r="C748" s="31"/>
      <c r="M748" s="25"/>
      <c r="N748" s="25"/>
    </row>
    <row r="749" spans="2:14" ht="15.6" x14ac:dyDescent="0.3">
      <c r="B749" s="31"/>
      <c r="C749" s="31"/>
      <c r="M749" s="25"/>
      <c r="N749" s="25"/>
    </row>
    <row r="750" spans="2:14" ht="15.6" x14ac:dyDescent="0.3">
      <c r="B750" s="31"/>
      <c r="C750" s="31"/>
      <c r="M750" s="25"/>
      <c r="N750" s="25"/>
    </row>
    <row r="751" spans="2:14" ht="15.6" x14ac:dyDescent="0.3">
      <c r="B751" s="31"/>
      <c r="C751" s="31"/>
      <c r="M751" s="25"/>
      <c r="N751" s="25"/>
    </row>
    <row r="752" spans="2:14" ht="15.6" x14ac:dyDescent="0.3">
      <c r="B752" s="31"/>
      <c r="C752" s="31"/>
      <c r="M752" s="25"/>
      <c r="N752" s="25"/>
    </row>
    <row r="753" spans="2:14" ht="15.6" x14ac:dyDescent="0.3">
      <c r="B753" s="31"/>
      <c r="C753" s="31"/>
      <c r="M753" s="25"/>
      <c r="N753" s="25"/>
    </row>
    <row r="754" spans="2:14" ht="15.6" x14ac:dyDescent="0.3">
      <c r="B754" s="31"/>
      <c r="C754" s="31"/>
      <c r="M754" s="25"/>
      <c r="N754" s="25"/>
    </row>
    <row r="755" spans="2:14" ht="15.6" x14ac:dyDescent="0.3">
      <c r="B755" s="31"/>
      <c r="C755" s="31"/>
      <c r="M755" s="25"/>
      <c r="N755" s="25"/>
    </row>
    <row r="756" spans="2:14" ht="15.6" x14ac:dyDescent="0.3">
      <c r="B756" s="31"/>
      <c r="C756" s="31"/>
      <c r="M756" s="25"/>
      <c r="N756" s="25"/>
    </row>
    <row r="757" spans="2:14" ht="15.6" x14ac:dyDescent="0.3">
      <c r="B757" s="31"/>
      <c r="C757" s="31"/>
      <c r="M757" s="25"/>
      <c r="N757" s="25"/>
    </row>
    <row r="758" spans="2:14" ht="15.6" x14ac:dyDescent="0.3">
      <c r="B758" s="31"/>
      <c r="C758" s="31"/>
      <c r="M758" s="25"/>
      <c r="N758" s="25"/>
    </row>
    <row r="759" spans="2:14" ht="15.6" x14ac:dyDescent="0.3">
      <c r="B759" s="31"/>
      <c r="C759" s="31"/>
      <c r="M759" s="25"/>
      <c r="N759" s="25"/>
    </row>
    <row r="760" spans="2:14" ht="15.6" x14ac:dyDescent="0.3">
      <c r="B760" s="31"/>
      <c r="C760" s="31"/>
      <c r="M760" s="25"/>
      <c r="N760" s="25"/>
    </row>
    <row r="761" spans="2:14" ht="15.6" x14ac:dyDescent="0.3">
      <c r="B761" s="31"/>
      <c r="C761" s="31"/>
      <c r="M761" s="25"/>
      <c r="N761" s="25"/>
    </row>
    <row r="762" spans="2:14" ht="15.6" x14ac:dyDescent="0.3">
      <c r="B762" s="31"/>
      <c r="C762" s="31"/>
      <c r="M762" s="25"/>
      <c r="N762" s="25"/>
    </row>
    <row r="763" spans="2:14" ht="15.6" x14ac:dyDescent="0.3">
      <c r="B763" s="31"/>
      <c r="C763" s="31"/>
      <c r="M763" s="25"/>
      <c r="N763" s="25"/>
    </row>
    <row r="764" spans="2:14" ht="15.6" x14ac:dyDescent="0.3">
      <c r="B764" s="31"/>
      <c r="C764" s="31"/>
      <c r="M764" s="25"/>
      <c r="N764" s="25"/>
    </row>
    <row r="765" spans="2:14" ht="15.6" x14ac:dyDescent="0.3">
      <c r="B765" s="31"/>
      <c r="C765" s="31"/>
      <c r="M765" s="25"/>
      <c r="N765" s="25"/>
    </row>
    <row r="766" spans="2:14" ht="15.6" x14ac:dyDescent="0.3">
      <c r="B766" s="31"/>
      <c r="C766" s="31"/>
      <c r="M766" s="25"/>
      <c r="N766" s="25"/>
    </row>
    <row r="767" spans="2:14" ht="15.6" x14ac:dyDescent="0.3">
      <c r="B767" s="31"/>
      <c r="C767" s="31"/>
      <c r="M767" s="25"/>
      <c r="N767" s="25"/>
    </row>
    <row r="768" spans="2:14" ht="15.6" x14ac:dyDescent="0.3">
      <c r="B768" s="31"/>
      <c r="C768" s="31"/>
      <c r="M768" s="25"/>
      <c r="N768" s="25"/>
    </row>
    <row r="769" spans="2:14" ht="15.6" x14ac:dyDescent="0.3">
      <c r="B769" s="31"/>
      <c r="C769" s="31"/>
      <c r="M769" s="25"/>
      <c r="N769" s="25"/>
    </row>
    <row r="770" spans="2:14" ht="15.6" x14ac:dyDescent="0.3">
      <c r="B770" s="31"/>
      <c r="C770" s="31"/>
      <c r="M770" s="25"/>
      <c r="N770" s="25"/>
    </row>
    <row r="771" spans="2:14" ht="15.6" x14ac:dyDescent="0.3">
      <c r="B771" s="31"/>
      <c r="C771" s="31"/>
      <c r="M771" s="25"/>
      <c r="N771" s="25"/>
    </row>
    <row r="772" spans="2:14" ht="15.6" x14ac:dyDescent="0.3">
      <c r="B772" s="31"/>
      <c r="C772" s="31"/>
      <c r="M772" s="25"/>
      <c r="N772" s="25"/>
    </row>
    <row r="773" spans="2:14" ht="15.6" x14ac:dyDescent="0.3">
      <c r="B773" s="31"/>
      <c r="C773" s="31"/>
      <c r="M773" s="25"/>
      <c r="N773" s="25"/>
    </row>
    <row r="774" spans="2:14" ht="15.6" x14ac:dyDescent="0.3">
      <c r="B774" s="31"/>
      <c r="C774" s="31"/>
      <c r="M774" s="25"/>
      <c r="N774" s="25"/>
    </row>
    <row r="775" spans="2:14" ht="15.6" x14ac:dyDescent="0.3">
      <c r="B775" s="31"/>
      <c r="C775" s="31"/>
      <c r="M775" s="25"/>
      <c r="N775" s="25"/>
    </row>
    <row r="776" spans="2:14" ht="15.6" x14ac:dyDescent="0.3">
      <c r="B776" s="31"/>
      <c r="C776" s="31"/>
      <c r="M776" s="25"/>
      <c r="N776" s="25"/>
    </row>
    <row r="777" spans="2:14" ht="15.6" x14ac:dyDescent="0.3">
      <c r="B777" s="31"/>
      <c r="C777" s="31"/>
      <c r="M777" s="25"/>
      <c r="N777" s="25"/>
    </row>
    <row r="778" spans="2:14" ht="15.6" x14ac:dyDescent="0.3">
      <c r="B778" s="31"/>
      <c r="C778" s="31"/>
      <c r="M778" s="25"/>
      <c r="N778" s="25"/>
    </row>
    <row r="779" spans="2:14" ht="15.6" x14ac:dyDescent="0.3">
      <c r="B779" s="31"/>
      <c r="C779" s="31"/>
      <c r="M779" s="25"/>
      <c r="N779" s="25"/>
    </row>
    <row r="780" spans="2:14" ht="15.6" x14ac:dyDescent="0.3">
      <c r="B780" s="31"/>
      <c r="C780" s="31"/>
      <c r="M780" s="25"/>
      <c r="N780" s="25"/>
    </row>
    <row r="781" spans="2:14" ht="15.6" x14ac:dyDescent="0.3">
      <c r="B781" s="31"/>
      <c r="C781" s="31"/>
      <c r="M781" s="25"/>
      <c r="N781" s="25"/>
    </row>
    <row r="782" spans="2:14" ht="15.6" x14ac:dyDescent="0.3">
      <c r="B782" s="31"/>
      <c r="C782" s="31"/>
      <c r="M782" s="25"/>
      <c r="N782" s="25"/>
    </row>
    <row r="783" spans="2:14" ht="15.6" x14ac:dyDescent="0.3">
      <c r="B783" s="31"/>
      <c r="C783" s="31"/>
      <c r="M783" s="25"/>
      <c r="N783" s="25"/>
    </row>
    <row r="784" spans="2:14" ht="15.6" x14ac:dyDescent="0.3">
      <c r="B784" s="31"/>
      <c r="C784" s="31"/>
      <c r="M784" s="25"/>
      <c r="N784" s="25"/>
    </row>
    <row r="785" spans="2:14" ht="15.6" x14ac:dyDescent="0.3">
      <c r="B785" s="31"/>
      <c r="C785" s="31"/>
      <c r="M785" s="25"/>
      <c r="N785" s="25"/>
    </row>
    <row r="786" spans="2:14" ht="15.6" x14ac:dyDescent="0.3">
      <c r="B786" s="31"/>
      <c r="C786" s="31"/>
      <c r="M786" s="25"/>
      <c r="N786" s="25"/>
    </row>
    <row r="787" spans="2:14" ht="15.6" x14ac:dyDescent="0.3">
      <c r="B787" s="31"/>
      <c r="C787" s="31"/>
      <c r="M787" s="25"/>
      <c r="N787" s="25"/>
    </row>
    <row r="788" spans="2:14" ht="15.6" x14ac:dyDescent="0.3">
      <c r="B788" s="31"/>
      <c r="C788" s="31"/>
      <c r="M788" s="25"/>
      <c r="N788" s="25"/>
    </row>
    <row r="789" spans="2:14" ht="15.6" x14ac:dyDescent="0.3">
      <c r="B789" s="31"/>
      <c r="C789" s="31"/>
      <c r="M789" s="25"/>
      <c r="N789" s="25"/>
    </row>
    <row r="790" spans="2:14" ht="15.6" x14ac:dyDescent="0.3">
      <c r="B790" s="31"/>
      <c r="C790" s="31"/>
      <c r="M790" s="25"/>
      <c r="N790" s="25"/>
    </row>
    <row r="791" spans="2:14" ht="15.6" x14ac:dyDescent="0.3">
      <c r="B791" s="31"/>
      <c r="C791" s="31"/>
      <c r="M791" s="25"/>
      <c r="N791" s="25"/>
    </row>
    <row r="792" spans="2:14" ht="15.6" x14ac:dyDescent="0.3">
      <c r="B792" s="31"/>
      <c r="C792" s="31"/>
      <c r="M792" s="25"/>
      <c r="N792" s="25"/>
    </row>
    <row r="793" spans="2:14" ht="15.6" x14ac:dyDescent="0.3">
      <c r="B793" s="31"/>
      <c r="C793" s="31"/>
      <c r="M793" s="25"/>
      <c r="N793" s="25"/>
    </row>
    <row r="794" spans="2:14" ht="15.6" x14ac:dyDescent="0.3">
      <c r="B794" s="31"/>
      <c r="C794" s="31"/>
      <c r="M794" s="25"/>
      <c r="N794" s="25"/>
    </row>
    <row r="795" spans="2:14" ht="15.6" x14ac:dyDescent="0.3">
      <c r="B795" s="31"/>
      <c r="C795" s="31"/>
      <c r="M795" s="25"/>
      <c r="N795" s="25"/>
    </row>
    <row r="796" spans="2:14" ht="15.6" x14ac:dyDescent="0.3">
      <c r="B796" s="31"/>
      <c r="C796" s="31"/>
      <c r="M796" s="25"/>
      <c r="N796" s="25"/>
    </row>
    <row r="797" spans="2:14" ht="15.6" x14ac:dyDescent="0.3">
      <c r="B797" s="31"/>
      <c r="C797" s="31"/>
      <c r="M797" s="25"/>
      <c r="N797" s="25"/>
    </row>
    <row r="798" spans="2:14" ht="15.6" x14ac:dyDescent="0.3">
      <c r="B798" s="31"/>
      <c r="C798" s="31"/>
      <c r="M798" s="25"/>
      <c r="N798" s="25"/>
    </row>
    <row r="799" spans="2:14" ht="15.6" x14ac:dyDescent="0.3">
      <c r="B799" s="31"/>
      <c r="C799" s="31"/>
      <c r="M799" s="25"/>
      <c r="N799" s="25"/>
    </row>
    <row r="800" spans="2:14" ht="15.6" x14ac:dyDescent="0.3">
      <c r="B800" s="31"/>
      <c r="C800" s="31"/>
      <c r="M800" s="25"/>
      <c r="N800" s="25"/>
    </row>
    <row r="801" spans="2:14" ht="15.6" x14ac:dyDescent="0.3">
      <c r="B801" s="31"/>
      <c r="C801" s="31"/>
      <c r="M801" s="25"/>
      <c r="N801" s="25"/>
    </row>
    <row r="802" spans="2:14" ht="15.6" x14ac:dyDescent="0.3">
      <c r="B802" s="31"/>
      <c r="C802" s="31"/>
      <c r="M802" s="25"/>
      <c r="N802" s="25"/>
    </row>
    <row r="803" spans="2:14" ht="15.6" x14ac:dyDescent="0.3">
      <c r="B803" s="31"/>
      <c r="C803" s="31"/>
      <c r="M803" s="25"/>
      <c r="N803" s="25"/>
    </row>
    <row r="804" spans="2:14" ht="15.6" x14ac:dyDescent="0.3">
      <c r="B804" s="31"/>
      <c r="C804" s="31"/>
      <c r="M804" s="25"/>
      <c r="N804" s="25"/>
    </row>
    <row r="805" spans="2:14" ht="15.6" x14ac:dyDescent="0.3">
      <c r="B805" s="31"/>
      <c r="C805" s="31"/>
      <c r="M805" s="25"/>
      <c r="N805" s="25"/>
    </row>
    <row r="806" spans="2:14" ht="15.6" x14ac:dyDescent="0.3">
      <c r="B806" s="31"/>
      <c r="C806" s="31"/>
      <c r="M806" s="25"/>
      <c r="N806" s="25"/>
    </row>
    <row r="807" spans="2:14" ht="15.6" x14ac:dyDescent="0.3">
      <c r="B807" s="31"/>
      <c r="C807" s="31"/>
      <c r="M807" s="25"/>
      <c r="N807" s="25"/>
    </row>
    <row r="808" spans="2:14" ht="15.6" x14ac:dyDescent="0.3">
      <c r="B808" s="31"/>
      <c r="C808" s="31"/>
      <c r="M808" s="25"/>
      <c r="N808" s="25"/>
    </row>
    <row r="809" spans="2:14" ht="15.6" x14ac:dyDescent="0.3">
      <c r="B809" s="31"/>
      <c r="C809" s="31"/>
      <c r="M809" s="25"/>
      <c r="N809" s="25"/>
    </row>
    <row r="810" spans="2:14" ht="15.6" x14ac:dyDescent="0.3">
      <c r="B810" s="31"/>
      <c r="C810" s="31"/>
      <c r="M810" s="25"/>
      <c r="N810" s="25"/>
    </row>
    <row r="811" spans="2:14" ht="15.6" x14ac:dyDescent="0.3">
      <c r="B811" s="31"/>
      <c r="C811" s="31"/>
      <c r="M811" s="25"/>
      <c r="N811" s="25"/>
    </row>
    <row r="812" spans="2:14" ht="15.6" x14ac:dyDescent="0.3">
      <c r="B812" s="31"/>
      <c r="C812" s="31"/>
      <c r="M812" s="25"/>
      <c r="N812" s="25"/>
    </row>
    <row r="813" spans="2:14" ht="15.6" x14ac:dyDescent="0.3">
      <c r="B813" s="31"/>
      <c r="C813" s="31"/>
      <c r="M813" s="25"/>
      <c r="N813" s="25"/>
    </row>
    <row r="814" spans="2:14" ht="15.6" x14ac:dyDescent="0.3">
      <c r="B814" s="31"/>
      <c r="C814" s="31"/>
      <c r="M814" s="25"/>
      <c r="N814" s="25"/>
    </row>
    <row r="815" spans="2:14" ht="15.6" x14ac:dyDescent="0.3">
      <c r="B815" s="31"/>
      <c r="C815" s="31"/>
      <c r="M815" s="25"/>
      <c r="N815" s="25"/>
    </row>
    <row r="816" spans="2:14" ht="15.6" x14ac:dyDescent="0.3">
      <c r="B816" s="31"/>
      <c r="C816" s="31"/>
      <c r="M816" s="25"/>
      <c r="N816" s="25"/>
    </row>
    <row r="817" spans="2:14" ht="15.6" x14ac:dyDescent="0.3">
      <c r="B817" s="31"/>
      <c r="C817" s="31"/>
      <c r="M817" s="25"/>
      <c r="N817" s="25"/>
    </row>
    <row r="818" spans="2:14" ht="15.6" x14ac:dyDescent="0.3">
      <c r="B818" s="31"/>
      <c r="C818" s="31"/>
      <c r="M818" s="25"/>
      <c r="N818" s="25"/>
    </row>
    <row r="819" spans="2:14" ht="15.6" x14ac:dyDescent="0.3">
      <c r="B819" s="31"/>
      <c r="C819" s="31"/>
      <c r="M819" s="25"/>
      <c r="N819" s="25"/>
    </row>
    <row r="820" spans="2:14" ht="15.6" x14ac:dyDescent="0.3">
      <c r="B820" s="31"/>
      <c r="C820" s="31"/>
      <c r="M820" s="25"/>
      <c r="N820" s="25"/>
    </row>
    <row r="821" spans="2:14" ht="15.6" x14ac:dyDescent="0.3">
      <c r="B821" s="31"/>
      <c r="C821" s="31"/>
      <c r="M821" s="25"/>
      <c r="N821" s="25"/>
    </row>
    <row r="822" spans="2:14" ht="15.6" x14ac:dyDescent="0.3">
      <c r="B822" s="31"/>
      <c r="C822" s="31"/>
      <c r="M822" s="25"/>
      <c r="N822" s="25"/>
    </row>
    <row r="823" spans="2:14" ht="15.6" x14ac:dyDescent="0.3">
      <c r="B823" s="31"/>
      <c r="C823" s="31"/>
      <c r="M823" s="25"/>
      <c r="N823" s="25"/>
    </row>
    <row r="824" spans="2:14" ht="15.6" x14ac:dyDescent="0.3">
      <c r="B824" s="31"/>
      <c r="C824" s="31"/>
      <c r="M824" s="25"/>
      <c r="N824" s="25"/>
    </row>
    <row r="825" spans="2:14" ht="15.6" x14ac:dyDescent="0.3">
      <c r="B825" s="31"/>
      <c r="C825" s="31"/>
      <c r="M825" s="25"/>
      <c r="N825" s="25"/>
    </row>
    <row r="826" spans="2:14" ht="15.6" x14ac:dyDescent="0.3">
      <c r="B826" s="31"/>
      <c r="C826" s="31"/>
      <c r="M826" s="25"/>
      <c r="N826" s="25"/>
    </row>
    <row r="827" spans="2:14" ht="15.6" x14ac:dyDescent="0.3">
      <c r="B827" s="31"/>
      <c r="C827" s="31"/>
      <c r="M827" s="25"/>
      <c r="N827" s="25"/>
    </row>
    <row r="828" spans="2:14" ht="15.6" x14ac:dyDescent="0.3">
      <c r="B828" s="31"/>
      <c r="C828" s="31"/>
      <c r="M828" s="25"/>
      <c r="N828" s="25"/>
    </row>
    <row r="829" spans="2:14" ht="15.6" x14ac:dyDescent="0.3">
      <c r="B829" s="31"/>
      <c r="C829" s="31"/>
      <c r="M829" s="25"/>
      <c r="N829" s="25"/>
    </row>
    <row r="830" spans="2:14" ht="15.6" x14ac:dyDescent="0.3">
      <c r="B830" s="31"/>
      <c r="C830" s="31"/>
      <c r="M830" s="25"/>
      <c r="N830" s="25"/>
    </row>
    <row r="831" spans="2:14" ht="15.6" x14ac:dyDescent="0.3">
      <c r="B831" s="31"/>
      <c r="C831" s="31"/>
      <c r="M831" s="25"/>
      <c r="N831" s="25"/>
    </row>
    <row r="832" spans="2:14" ht="15.6" x14ac:dyDescent="0.3">
      <c r="B832" s="31"/>
      <c r="C832" s="31"/>
      <c r="M832" s="25"/>
      <c r="N832" s="25"/>
    </row>
    <row r="833" spans="2:14" ht="15.6" x14ac:dyDescent="0.3">
      <c r="B833" s="31"/>
      <c r="C833" s="31"/>
      <c r="M833" s="25"/>
      <c r="N833" s="25"/>
    </row>
    <row r="834" spans="2:14" ht="15.6" x14ac:dyDescent="0.3">
      <c r="B834" s="31"/>
      <c r="C834" s="31"/>
      <c r="M834" s="25"/>
      <c r="N834" s="25"/>
    </row>
    <row r="835" spans="2:14" ht="15.6" x14ac:dyDescent="0.3">
      <c r="B835" s="31"/>
      <c r="C835" s="31"/>
      <c r="M835" s="25"/>
      <c r="N835" s="25"/>
    </row>
    <row r="836" spans="2:14" ht="15.6" x14ac:dyDescent="0.3">
      <c r="B836" s="31"/>
      <c r="C836" s="31"/>
      <c r="M836" s="25"/>
      <c r="N836" s="25"/>
    </row>
    <row r="837" spans="2:14" ht="15.6" x14ac:dyDescent="0.3">
      <c r="B837" s="31"/>
      <c r="C837" s="31"/>
      <c r="M837" s="25"/>
      <c r="N837" s="25"/>
    </row>
    <row r="838" spans="2:14" ht="15.6" x14ac:dyDescent="0.3">
      <c r="B838" s="31"/>
      <c r="C838" s="31"/>
      <c r="M838" s="25"/>
      <c r="N838" s="25"/>
    </row>
    <row r="839" spans="2:14" ht="15.6" x14ac:dyDescent="0.3">
      <c r="B839" s="31"/>
      <c r="C839" s="31"/>
      <c r="M839" s="25"/>
      <c r="N839" s="25"/>
    </row>
    <row r="840" spans="2:14" ht="15.6" x14ac:dyDescent="0.3">
      <c r="B840" s="31"/>
      <c r="C840" s="31"/>
      <c r="M840" s="25"/>
      <c r="N840" s="25"/>
    </row>
    <row r="841" spans="2:14" ht="15.6" x14ac:dyDescent="0.3">
      <c r="B841" s="31"/>
      <c r="C841" s="31"/>
      <c r="M841" s="25"/>
      <c r="N841" s="25"/>
    </row>
    <row r="842" spans="2:14" ht="15.6" x14ac:dyDescent="0.3">
      <c r="B842" s="31"/>
      <c r="C842" s="31"/>
      <c r="M842" s="25"/>
      <c r="N842" s="25"/>
    </row>
    <row r="843" spans="2:14" ht="15.6" x14ac:dyDescent="0.3">
      <c r="B843" s="31"/>
      <c r="C843" s="31"/>
      <c r="M843" s="25"/>
      <c r="N843" s="25"/>
    </row>
    <row r="844" spans="2:14" ht="15.6" x14ac:dyDescent="0.3">
      <c r="B844" s="31"/>
      <c r="C844" s="31"/>
      <c r="M844" s="25"/>
      <c r="N844" s="25"/>
    </row>
    <row r="845" spans="2:14" ht="15.6" x14ac:dyDescent="0.3">
      <c r="B845" s="31"/>
      <c r="C845" s="31"/>
      <c r="M845" s="25"/>
      <c r="N845" s="25"/>
    </row>
    <row r="846" spans="2:14" ht="15.6" x14ac:dyDescent="0.3">
      <c r="B846" s="31"/>
      <c r="C846" s="31"/>
      <c r="M846" s="25"/>
      <c r="N846" s="25"/>
    </row>
    <row r="847" spans="2:14" ht="15.6" x14ac:dyDescent="0.3">
      <c r="B847" s="31"/>
      <c r="C847" s="31"/>
      <c r="M847" s="25"/>
      <c r="N847" s="25"/>
    </row>
    <row r="848" spans="2:14" ht="15.6" x14ac:dyDescent="0.3">
      <c r="B848" s="31"/>
      <c r="C848" s="31"/>
      <c r="M848" s="25"/>
      <c r="N848" s="25"/>
    </row>
    <row r="849" spans="2:14" ht="15.6" x14ac:dyDescent="0.3">
      <c r="B849" s="31"/>
      <c r="C849" s="31"/>
      <c r="M849" s="25"/>
      <c r="N849" s="25"/>
    </row>
    <row r="850" spans="2:14" ht="15.6" x14ac:dyDescent="0.3">
      <c r="B850" s="31"/>
      <c r="C850" s="31"/>
      <c r="M850" s="25"/>
      <c r="N850" s="25"/>
    </row>
    <row r="851" spans="2:14" ht="15.6" x14ac:dyDescent="0.3">
      <c r="B851" s="31"/>
      <c r="C851" s="31"/>
      <c r="M851" s="25"/>
      <c r="N851" s="25"/>
    </row>
    <row r="852" spans="2:14" ht="15.6" x14ac:dyDescent="0.3">
      <c r="B852" s="31"/>
      <c r="C852" s="31"/>
      <c r="M852" s="25"/>
      <c r="N852" s="25"/>
    </row>
    <row r="853" spans="2:14" ht="15.6" x14ac:dyDescent="0.3">
      <c r="B853" s="31"/>
      <c r="C853" s="31"/>
      <c r="M853" s="25"/>
      <c r="N853" s="25"/>
    </row>
    <row r="854" spans="2:14" ht="15.6" x14ac:dyDescent="0.3">
      <c r="B854" s="31"/>
      <c r="C854" s="31"/>
      <c r="M854" s="25"/>
      <c r="N854" s="25"/>
    </row>
    <row r="855" spans="2:14" ht="15.6" x14ac:dyDescent="0.3">
      <c r="B855" s="31"/>
      <c r="C855" s="31"/>
      <c r="M855" s="25"/>
      <c r="N855" s="25"/>
    </row>
    <row r="856" spans="2:14" ht="15.6" x14ac:dyDescent="0.3">
      <c r="B856" s="31"/>
      <c r="C856" s="31"/>
      <c r="M856" s="25"/>
      <c r="N856" s="25"/>
    </row>
    <row r="857" spans="2:14" ht="15.6" x14ac:dyDescent="0.3">
      <c r="B857" s="31"/>
      <c r="C857" s="31"/>
      <c r="M857" s="25"/>
      <c r="N857" s="25"/>
    </row>
    <row r="858" spans="2:14" ht="15.6" x14ac:dyDescent="0.3">
      <c r="B858" s="31"/>
      <c r="C858" s="31"/>
      <c r="M858" s="25"/>
      <c r="N858" s="25"/>
    </row>
    <row r="859" spans="2:14" ht="15.6" x14ac:dyDescent="0.3">
      <c r="B859" s="31"/>
      <c r="C859" s="31"/>
      <c r="M859" s="25"/>
      <c r="N859" s="25"/>
    </row>
    <row r="860" spans="2:14" ht="15.6" x14ac:dyDescent="0.3">
      <c r="B860" s="31"/>
      <c r="C860" s="31"/>
      <c r="M860" s="25"/>
      <c r="N860" s="25"/>
    </row>
    <row r="861" spans="2:14" ht="15.6" x14ac:dyDescent="0.3">
      <c r="B861" s="31"/>
      <c r="C861" s="31"/>
      <c r="M861" s="25"/>
      <c r="N861" s="25"/>
    </row>
    <row r="862" spans="2:14" ht="15.6" x14ac:dyDescent="0.3">
      <c r="B862" s="31"/>
      <c r="C862" s="31"/>
      <c r="M862" s="25"/>
      <c r="N862" s="25"/>
    </row>
    <row r="863" spans="2:14" ht="15.6" x14ac:dyDescent="0.3">
      <c r="B863" s="31"/>
      <c r="C863" s="31"/>
      <c r="M863" s="25"/>
      <c r="N863" s="25"/>
    </row>
    <row r="864" spans="2:14" ht="15.6" x14ac:dyDescent="0.3">
      <c r="B864" s="31"/>
      <c r="C864" s="31"/>
      <c r="M864" s="25"/>
      <c r="N864" s="25"/>
    </row>
    <row r="865" spans="2:14" ht="15.6" x14ac:dyDescent="0.3">
      <c r="B865" s="31"/>
      <c r="C865" s="31"/>
      <c r="M865" s="25"/>
      <c r="N865" s="25"/>
    </row>
    <row r="866" spans="2:14" ht="15.6" x14ac:dyDescent="0.3">
      <c r="B866" s="31"/>
      <c r="C866" s="31"/>
      <c r="M866" s="25"/>
      <c r="N866" s="25"/>
    </row>
    <row r="867" spans="2:14" ht="15.6" x14ac:dyDescent="0.3">
      <c r="B867" s="31"/>
      <c r="C867" s="31"/>
      <c r="M867" s="25"/>
      <c r="N867" s="25"/>
    </row>
    <row r="868" spans="2:14" ht="15.6" x14ac:dyDescent="0.3">
      <c r="B868" s="31"/>
      <c r="C868" s="31"/>
      <c r="M868" s="25"/>
      <c r="N868" s="25"/>
    </row>
    <row r="869" spans="2:14" ht="15.6" x14ac:dyDescent="0.3">
      <c r="B869" s="31"/>
      <c r="C869" s="31"/>
      <c r="M869" s="25"/>
      <c r="N869" s="25"/>
    </row>
    <row r="870" spans="2:14" ht="15.6" x14ac:dyDescent="0.3">
      <c r="B870" s="31"/>
      <c r="C870" s="31"/>
      <c r="M870" s="25"/>
      <c r="N870" s="25"/>
    </row>
    <row r="871" spans="2:14" ht="15.6" x14ac:dyDescent="0.3">
      <c r="B871" s="31"/>
      <c r="C871" s="31"/>
      <c r="M871" s="25"/>
      <c r="N871" s="25"/>
    </row>
    <row r="872" spans="2:14" ht="15.6" x14ac:dyDescent="0.3">
      <c r="B872" s="31"/>
      <c r="C872" s="31"/>
      <c r="M872" s="25"/>
      <c r="N872" s="25"/>
    </row>
    <row r="873" spans="2:14" ht="15.6" x14ac:dyDescent="0.3">
      <c r="B873" s="31"/>
      <c r="C873" s="31"/>
      <c r="M873" s="25"/>
      <c r="N873" s="25"/>
    </row>
    <row r="874" spans="2:14" ht="15.6" x14ac:dyDescent="0.3">
      <c r="B874" s="31"/>
      <c r="C874" s="31"/>
      <c r="M874" s="25"/>
      <c r="N874" s="25"/>
    </row>
    <row r="875" spans="2:14" ht="15.6" x14ac:dyDescent="0.3">
      <c r="B875" s="31"/>
      <c r="C875" s="31"/>
      <c r="M875" s="25"/>
      <c r="N875" s="25"/>
    </row>
    <row r="876" spans="2:14" ht="15.6" x14ac:dyDescent="0.3">
      <c r="B876" s="31"/>
      <c r="C876" s="31"/>
      <c r="M876" s="25"/>
      <c r="N876" s="25"/>
    </row>
    <row r="877" spans="2:14" ht="15.6" x14ac:dyDescent="0.3">
      <c r="B877" s="31"/>
      <c r="C877" s="31"/>
      <c r="M877" s="25"/>
      <c r="N877" s="25"/>
    </row>
    <row r="878" spans="2:14" ht="15.6" x14ac:dyDescent="0.3">
      <c r="B878" s="31"/>
      <c r="C878" s="31"/>
      <c r="M878" s="25"/>
      <c r="N878" s="25"/>
    </row>
    <row r="879" spans="2:14" ht="15.6" x14ac:dyDescent="0.3">
      <c r="B879" s="31"/>
      <c r="C879" s="31"/>
      <c r="M879" s="25"/>
      <c r="N879" s="25"/>
    </row>
    <row r="880" spans="2:14" ht="15.6" x14ac:dyDescent="0.3">
      <c r="B880" s="31"/>
      <c r="C880" s="31"/>
      <c r="M880" s="25"/>
      <c r="N880" s="25"/>
    </row>
    <row r="881" spans="2:14" ht="15.6" x14ac:dyDescent="0.3">
      <c r="B881" s="31"/>
      <c r="C881" s="31"/>
      <c r="M881" s="25"/>
      <c r="N881" s="25"/>
    </row>
    <row r="882" spans="2:14" ht="15.6" x14ac:dyDescent="0.3">
      <c r="B882" s="31"/>
      <c r="C882" s="31"/>
      <c r="M882" s="25"/>
      <c r="N882" s="25"/>
    </row>
    <row r="883" spans="2:14" ht="15.6" x14ac:dyDescent="0.3">
      <c r="B883" s="31"/>
      <c r="C883" s="31"/>
      <c r="M883" s="25"/>
      <c r="N883" s="25"/>
    </row>
    <row r="884" spans="2:14" ht="15.6" x14ac:dyDescent="0.3">
      <c r="B884" s="31"/>
      <c r="C884" s="31"/>
      <c r="M884" s="25"/>
      <c r="N884" s="25"/>
    </row>
    <row r="885" spans="2:14" ht="15.6" x14ac:dyDescent="0.3">
      <c r="B885" s="31"/>
      <c r="C885" s="31"/>
      <c r="M885" s="25"/>
      <c r="N885" s="25"/>
    </row>
    <row r="886" spans="2:14" ht="15.6" x14ac:dyDescent="0.3">
      <c r="B886" s="31"/>
      <c r="C886" s="31"/>
      <c r="M886" s="25"/>
      <c r="N886" s="25"/>
    </row>
    <row r="887" spans="2:14" ht="15.6" x14ac:dyDescent="0.3">
      <c r="B887" s="31"/>
      <c r="C887" s="31"/>
      <c r="M887" s="25"/>
      <c r="N887" s="25"/>
    </row>
    <row r="888" spans="2:14" ht="15.6" x14ac:dyDescent="0.3">
      <c r="B888" s="31"/>
      <c r="C888" s="31"/>
      <c r="M888" s="25"/>
      <c r="N888" s="25"/>
    </row>
    <row r="889" spans="2:14" ht="15.6" x14ac:dyDescent="0.3">
      <c r="B889" s="31"/>
      <c r="C889" s="31"/>
      <c r="M889" s="25"/>
      <c r="N889" s="25"/>
    </row>
    <row r="890" spans="2:14" ht="15.6" x14ac:dyDescent="0.3">
      <c r="B890" s="31"/>
      <c r="C890" s="31"/>
      <c r="M890" s="25"/>
      <c r="N890" s="25"/>
    </row>
    <row r="891" spans="2:14" ht="15.6" x14ac:dyDescent="0.3">
      <c r="B891" s="31"/>
      <c r="C891" s="31"/>
      <c r="M891" s="25"/>
      <c r="N891" s="25"/>
    </row>
    <row r="892" spans="2:14" ht="15.6" x14ac:dyDescent="0.3">
      <c r="B892" s="31"/>
      <c r="C892" s="31"/>
      <c r="M892" s="25"/>
      <c r="N892" s="25"/>
    </row>
    <row r="893" spans="2:14" ht="15.6" x14ac:dyDescent="0.3">
      <c r="B893" s="31"/>
      <c r="C893" s="31"/>
      <c r="M893" s="25"/>
      <c r="N893" s="25"/>
    </row>
    <row r="894" spans="2:14" ht="15.6" x14ac:dyDescent="0.3">
      <c r="B894" s="31"/>
      <c r="C894" s="31"/>
      <c r="M894" s="25"/>
      <c r="N894" s="25"/>
    </row>
    <row r="895" spans="2:14" ht="15.6" x14ac:dyDescent="0.3">
      <c r="B895" s="31"/>
      <c r="C895" s="31"/>
      <c r="M895" s="25"/>
      <c r="N895" s="25"/>
    </row>
    <row r="896" spans="2:14" ht="15.6" x14ac:dyDescent="0.3">
      <c r="B896" s="31"/>
      <c r="C896" s="31"/>
      <c r="M896" s="25"/>
      <c r="N896" s="25"/>
    </row>
    <row r="897" spans="2:14" ht="15.6" x14ac:dyDescent="0.3">
      <c r="B897" s="31"/>
      <c r="C897" s="31"/>
      <c r="M897" s="25"/>
      <c r="N897" s="25"/>
    </row>
    <row r="898" spans="2:14" ht="15.6" x14ac:dyDescent="0.3">
      <c r="B898" s="31"/>
      <c r="C898" s="31"/>
      <c r="M898" s="25"/>
      <c r="N898" s="25"/>
    </row>
    <row r="899" spans="2:14" ht="15.6" x14ac:dyDescent="0.3">
      <c r="B899" s="31"/>
      <c r="C899" s="31"/>
      <c r="M899" s="25"/>
      <c r="N899" s="25"/>
    </row>
    <row r="900" spans="2:14" ht="15.6" x14ac:dyDescent="0.3">
      <c r="B900" s="31"/>
      <c r="C900" s="31"/>
      <c r="M900" s="25"/>
      <c r="N900" s="25"/>
    </row>
    <row r="901" spans="2:14" ht="15.6" x14ac:dyDescent="0.3">
      <c r="B901" s="31"/>
      <c r="C901" s="31"/>
      <c r="M901" s="25"/>
      <c r="N901" s="25"/>
    </row>
    <row r="902" spans="2:14" ht="15.6" x14ac:dyDescent="0.3">
      <c r="B902" s="31"/>
      <c r="C902" s="31"/>
      <c r="M902" s="25"/>
      <c r="N902" s="25"/>
    </row>
    <row r="903" spans="2:14" ht="15.6" x14ac:dyDescent="0.3">
      <c r="B903" s="31"/>
      <c r="C903" s="31"/>
      <c r="M903" s="25"/>
      <c r="N903" s="25"/>
    </row>
    <row r="904" spans="2:14" ht="15.6" x14ac:dyDescent="0.3">
      <c r="B904" s="31"/>
      <c r="C904" s="31"/>
      <c r="M904" s="25"/>
      <c r="N904" s="25"/>
    </row>
    <row r="905" spans="2:14" ht="15.6" x14ac:dyDescent="0.3">
      <c r="B905" s="31"/>
      <c r="C905" s="31"/>
      <c r="M905" s="25"/>
      <c r="N905" s="25"/>
    </row>
    <row r="906" spans="2:14" ht="15.6" x14ac:dyDescent="0.3">
      <c r="B906" s="31"/>
      <c r="C906" s="31"/>
      <c r="M906" s="25"/>
      <c r="N906" s="25"/>
    </row>
    <row r="907" spans="2:14" ht="15.6" x14ac:dyDescent="0.3">
      <c r="B907" s="31"/>
      <c r="C907" s="31"/>
      <c r="M907" s="25"/>
      <c r="N907" s="25"/>
    </row>
    <row r="908" spans="2:14" ht="15.6" x14ac:dyDescent="0.3">
      <c r="B908" s="31"/>
      <c r="C908" s="31"/>
      <c r="M908" s="25"/>
      <c r="N908" s="25"/>
    </row>
    <row r="909" spans="2:14" ht="15.6" x14ac:dyDescent="0.3">
      <c r="B909" s="31"/>
      <c r="C909" s="31"/>
      <c r="M909" s="25"/>
      <c r="N909" s="25"/>
    </row>
    <row r="910" spans="2:14" ht="15.6" x14ac:dyDescent="0.3">
      <c r="B910" s="31"/>
      <c r="C910" s="31"/>
      <c r="M910" s="25"/>
      <c r="N910" s="25"/>
    </row>
    <row r="911" spans="2:14" ht="15.6" x14ac:dyDescent="0.3">
      <c r="B911" s="31"/>
      <c r="C911" s="31"/>
      <c r="M911" s="25"/>
      <c r="N911" s="25"/>
    </row>
    <row r="912" spans="2:14" ht="15.6" x14ac:dyDescent="0.3">
      <c r="B912" s="31"/>
      <c r="C912" s="31"/>
      <c r="M912" s="25"/>
      <c r="N912" s="25"/>
    </row>
    <row r="913" spans="2:14" ht="15.6" x14ac:dyDescent="0.3">
      <c r="B913" s="31"/>
      <c r="C913" s="31"/>
      <c r="M913" s="25"/>
      <c r="N913" s="25"/>
    </row>
    <row r="914" spans="2:14" ht="15.6" x14ac:dyDescent="0.3">
      <c r="B914" s="31"/>
      <c r="C914" s="31"/>
      <c r="M914" s="25"/>
      <c r="N914" s="25"/>
    </row>
    <row r="915" spans="2:14" ht="15.6" x14ac:dyDescent="0.3">
      <c r="B915" s="31"/>
      <c r="C915" s="31"/>
      <c r="M915" s="25"/>
      <c r="N915" s="25"/>
    </row>
    <row r="916" spans="2:14" ht="15.6" x14ac:dyDescent="0.3">
      <c r="B916" s="31"/>
      <c r="C916" s="31"/>
      <c r="M916" s="25"/>
      <c r="N916" s="25"/>
    </row>
    <row r="917" spans="2:14" ht="15.6" x14ac:dyDescent="0.3">
      <c r="B917" s="31"/>
      <c r="C917" s="31"/>
      <c r="M917" s="25"/>
      <c r="N917" s="25"/>
    </row>
    <row r="918" spans="2:14" ht="15.6" x14ac:dyDescent="0.3">
      <c r="B918" s="31"/>
      <c r="C918" s="31"/>
      <c r="M918" s="25"/>
      <c r="N918" s="25"/>
    </row>
    <row r="919" spans="2:14" ht="15.6" x14ac:dyDescent="0.3">
      <c r="B919" s="31"/>
      <c r="C919" s="31"/>
      <c r="M919" s="25"/>
      <c r="N919" s="25"/>
    </row>
    <row r="920" spans="2:14" ht="15.6" x14ac:dyDescent="0.3">
      <c r="B920" s="31"/>
      <c r="C920" s="31"/>
      <c r="M920" s="25"/>
      <c r="N920" s="25"/>
    </row>
    <row r="921" spans="2:14" ht="15.6" x14ac:dyDescent="0.3">
      <c r="B921" s="31"/>
      <c r="C921" s="31"/>
      <c r="M921" s="25"/>
      <c r="N921" s="25"/>
    </row>
    <row r="922" spans="2:14" ht="15.6" x14ac:dyDescent="0.3">
      <c r="B922" s="31"/>
      <c r="C922" s="31"/>
      <c r="M922" s="25"/>
      <c r="N922" s="25"/>
    </row>
    <row r="923" spans="2:14" ht="15.6" x14ac:dyDescent="0.3">
      <c r="B923" s="31"/>
      <c r="C923" s="31"/>
      <c r="M923" s="25"/>
      <c r="N923" s="25"/>
    </row>
    <row r="924" spans="2:14" ht="15.6" x14ac:dyDescent="0.3">
      <c r="B924" s="31"/>
      <c r="C924" s="31"/>
      <c r="M924" s="25"/>
      <c r="N924" s="25"/>
    </row>
    <row r="925" spans="2:14" ht="15.6" x14ac:dyDescent="0.3">
      <c r="B925" s="31"/>
      <c r="C925" s="31"/>
      <c r="M925" s="25"/>
      <c r="N925" s="25"/>
    </row>
    <row r="926" spans="2:14" ht="15.6" x14ac:dyDescent="0.3">
      <c r="B926" s="31"/>
      <c r="C926" s="31"/>
      <c r="M926" s="25"/>
      <c r="N926" s="25"/>
    </row>
    <row r="927" spans="2:14" ht="15.6" x14ac:dyDescent="0.3">
      <c r="B927" s="31"/>
      <c r="C927" s="31"/>
      <c r="M927" s="25"/>
      <c r="N927" s="25"/>
    </row>
    <row r="928" spans="2:14" ht="15.6" x14ac:dyDescent="0.3">
      <c r="B928" s="31"/>
      <c r="C928" s="31"/>
      <c r="M928" s="25"/>
      <c r="N928" s="25"/>
    </row>
    <row r="929" spans="2:14" ht="15.6" x14ac:dyDescent="0.3">
      <c r="B929" s="31"/>
      <c r="C929" s="31"/>
      <c r="M929" s="25"/>
      <c r="N929" s="25"/>
    </row>
    <row r="930" spans="2:14" ht="15.6" x14ac:dyDescent="0.3">
      <c r="B930" s="31"/>
      <c r="C930" s="31"/>
      <c r="M930" s="25"/>
      <c r="N930" s="25"/>
    </row>
    <row r="931" spans="2:14" ht="15.6" x14ac:dyDescent="0.3">
      <c r="B931" s="31"/>
      <c r="C931" s="31"/>
      <c r="M931" s="25"/>
      <c r="N931" s="25"/>
    </row>
    <row r="932" spans="2:14" ht="15.6" x14ac:dyDescent="0.3">
      <c r="B932" s="31"/>
      <c r="C932" s="31"/>
      <c r="M932" s="25"/>
      <c r="N932" s="25"/>
    </row>
    <row r="933" spans="2:14" ht="15.6" x14ac:dyDescent="0.3">
      <c r="B933" s="31"/>
      <c r="C933" s="31"/>
      <c r="M933" s="25"/>
      <c r="N933" s="25"/>
    </row>
    <row r="934" spans="2:14" ht="15.6" x14ac:dyDescent="0.3">
      <c r="B934" s="31"/>
      <c r="C934" s="31"/>
      <c r="M934" s="25"/>
      <c r="N934" s="25"/>
    </row>
    <row r="935" spans="2:14" ht="15.6" x14ac:dyDescent="0.3">
      <c r="B935" s="31"/>
      <c r="C935" s="31"/>
      <c r="M935" s="25"/>
      <c r="N935" s="25"/>
    </row>
    <row r="936" spans="2:14" ht="15.6" x14ac:dyDescent="0.3">
      <c r="B936" s="31"/>
      <c r="C936" s="31"/>
      <c r="M936" s="25"/>
      <c r="N936" s="25"/>
    </row>
    <row r="937" spans="2:14" ht="15.6" x14ac:dyDescent="0.3">
      <c r="B937" s="31"/>
      <c r="C937" s="31"/>
      <c r="M937" s="25"/>
      <c r="N937" s="25"/>
    </row>
    <row r="938" spans="2:14" ht="15.6" x14ac:dyDescent="0.3">
      <c r="B938" s="31"/>
      <c r="C938" s="31"/>
      <c r="M938" s="25"/>
      <c r="N938" s="25"/>
    </row>
    <row r="939" spans="2:14" ht="15.6" x14ac:dyDescent="0.3">
      <c r="B939" s="31"/>
      <c r="C939" s="31"/>
      <c r="M939" s="25"/>
      <c r="N939" s="25"/>
    </row>
    <row r="940" spans="2:14" ht="15.6" x14ac:dyDescent="0.3">
      <c r="B940" s="31"/>
      <c r="C940" s="31"/>
      <c r="M940" s="25"/>
      <c r="N940" s="25"/>
    </row>
    <row r="941" spans="2:14" ht="15.6" x14ac:dyDescent="0.3">
      <c r="B941" s="31"/>
      <c r="C941" s="31"/>
      <c r="M941" s="25"/>
      <c r="N941" s="25"/>
    </row>
    <row r="942" spans="2:14" ht="15.6" x14ac:dyDescent="0.3">
      <c r="B942" s="31"/>
      <c r="C942" s="31"/>
      <c r="M942" s="25"/>
      <c r="N942" s="25"/>
    </row>
    <row r="943" spans="2:14" ht="15.6" x14ac:dyDescent="0.3">
      <c r="B943" s="31"/>
      <c r="C943" s="31"/>
      <c r="M943" s="25"/>
      <c r="N943" s="25"/>
    </row>
    <row r="944" spans="2:14" ht="15.6" x14ac:dyDescent="0.3">
      <c r="B944" s="31"/>
      <c r="C944" s="31"/>
      <c r="M944" s="25"/>
      <c r="N944" s="25"/>
    </row>
    <row r="945" spans="2:14" ht="15.6" x14ac:dyDescent="0.3">
      <c r="B945" s="31"/>
      <c r="C945" s="31"/>
      <c r="M945" s="25"/>
      <c r="N945" s="25"/>
    </row>
    <row r="946" spans="2:14" ht="15.6" x14ac:dyDescent="0.3">
      <c r="B946" s="31"/>
      <c r="C946" s="31"/>
      <c r="M946" s="25"/>
      <c r="N946" s="25"/>
    </row>
    <row r="947" spans="2:14" ht="15.6" x14ac:dyDescent="0.3">
      <c r="B947" s="31"/>
      <c r="C947" s="31"/>
      <c r="M947" s="25"/>
      <c r="N947" s="25"/>
    </row>
    <row r="948" spans="2:14" ht="15.6" x14ac:dyDescent="0.3">
      <c r="B948" s="31"/>
      <c r="C948" s="31"/>
      <c r="M948" s="25"/>
      <c r="N948" s="25"/>
    </row>
    <row r="949" spans="2:14" ht="15.6" x14ac:dyDescent="0.3">
      <c r="B949" s="31"/>
      <c r="C949" s="31"/>
      <c r="M949" s="25"/>
      <c r="N949" s="25"/>
    </row>
    <row r="950" spans="2:14" ht="15.6" x14ac:dyDescent="0.3">
      <c r="B950" s="31"/>
      <c r="C950" s="31"/>
      <c r="M950" s="25"/>
      <c r="N950" s="25"/>
    </row>
    <row r="951" spans="2:14" ht="15.6" x14ac:dyDescent="0.3">
      <c r="B951" s="31"/>
      <c r="C951" s="31"/>
      <c r="M951" s="25"/>
      <c r="N951" s="25"/>
    </row>
    <row r="952" spans="2:14" ht="15.6" x14ac:dyDescent="0.3">
      <c r="B952" s="31"/>
      <c r="C952" s="31"/>
      <c r="M952" s="25"/>
      <c r="N952" s="25"/>
    </row>
    <row r="953" spans="2:14" ht="15.6" x14ac:dyDescent="0.3">
      <c r="B953" s="31"/>
      <c r="C953" s="31"/>
      <c r="M953" s="25"/>
      <c r="N953" s="25"/>
    </row>
    <row r="954" spans="2:14" ht="15.6" x14ac:dyDescent="0.3">
      <c r="B954" s="31"/>
      <c r="C954" s="31"/>
      <c r="M954" s="25"/>
      <c r="N954" s="25"/>
    </row>
    <row r="955" spans="2:14" ht="15.6" x14ac:dyDescent="0.3">
      <c r="B955" s="31"/>
      <c r="C955" s="31"/>
      <c r="M955" s="25"/>
      <c r="N955" s="25"/>
    </row>
    <row r="956" spans="2:14" ht="15.6" x14ac:dyDescent="0.3">
      <c r="B956" s="31"/>
      <c r="C956" s="31"/>
      <c r="M956" s="25"/>
      <c r="N956" s="25"/>
    </row>
    <row r="957" spans="2:14" ht="15.6" x14ac:dyDescent="0.3">
      <c r="B957" s="31"/>
      <c r="C957" s="31"/>
      <c r="M957" s="25"/>
      <c r="N957" s="25"/>
    </row>
    <row r="958" spans="2:14" ht="15.6" x14ac:dyDescent="0.3">
      <c r="B958" s="31"/>
      <c r="C958" s="31"/>
      <c r="M958" s="25"/>
      <c r="N958" s="25"/>
    </row>
    <row r="959" spans="2:14" ht="15.6" x14ac:dyDescent="0.3">
      <c r="B959" s="31"/>
      <c r="C959" s="31"/>
      <c r="M959" s="25"/>
      <c r="N959" s="25"/>
    </row>
    <row r="960" spans="2:14" ht="15.6" x14ac:dyDescent="0.3">
      <c r="B960" s="31"/>
      <c r="C960" s="31"/>
      <c r="M960" s="25"/>
      <c r="N960" s="25"/>
    </row>
    <row r="961" spans="2:14" ht="15.6" x14ac:dyDescent="0.3">
      <c r="B961" s="31"/>
      <c r="C961" s="31"/>
      <c r="M961" s="25"/>
      <c r="N961" s="25"/>
    </row>
    <row r="962" spans="2:14" ht="15.6" x14ac:dyDescent="0.3">
      <c r="B962" s="31"/>
      <c r="C962" s="31"/>
      <c r="M962" s="25"/>
      <c r="N962" s="25"/>
    </row>
    <row r="963" spans="2:14" ht="15.6" x14ac:dyDescent="0.3">
      <c r="B963" s="31"/>
      <c r="C963" s="31"/>
      <c r="M963" s="25"/>
      <c r="N963" s="25"/>
    </row>
    <row r="964" spans="2:14" ht="15.6" x14ac:dyDescent="0.3">
      <c r="B964" s="31"/>
      <c r="C964" s="31"/>
      <c r="M964" s="25"/>
      <c r="N964" s="25"/>
    </row>
    <row r="965" spans="2:14" ht="15.6" x14ac:dyDescent="0.3">
      <c r="B965" s="31"/>
      <c r="C965" s="31"/>
      <c r="M965" s="25"/>
      <c r="N965" s="25"/>
    </row>
    <row r="966" spans="2:14" ht="15.6" x14ac:dyDescent="0.3">
      <c r="B966" s="31"/>
      <c r="C966" s="31"/>
      <c r="M966" s="25"/>
      <c r="N966" s="25"/>
    </row>
    <row r="967" spans="2:14" ht="15.6" x14ac:dyDescent="0.3">
      <c r="B967" s="31"/>
      <c r="C967" s="31"/>
      <c r="M967" s="25"/>
      <c r="N967" s="25"/>
    </row>
    <row r="968" spans="2:14" ht="15.6" x14ac:dyDescent="0.3">
      <c r="B968" s="31"/>
      <c r="C968" s="31"/>
      <c r="M968" s="25"/>
      <c r="N968" s="25"/>
    </row>
    <row r="969" spans="2:14" ht="15.6" x14ac:dyDescent="0.3">
      <c r="B969" s="31"/>
      <c r="C969" s="31"/>
      <c r="M969" s="25"/>
      <c r="N969" s="25"/>
    </row>
    <row r="970" spans="2:14" ht="15.6" x14ac:dyDescent="0.3">
      <c r="B970" s="31"/>
      <c r="C970" s="31"/>
      <c r="M970" s="25"/>
      <c r="N970" s="25"/>
    </row>
    <row r="971" spans="2:14" ht="15.6" x14ac:dyDescent="0.3">
      <c r="B971" s="31"/>
      <c r="C971" s="31"/>
      <c r="M971" s="25"/>
      <c r="N971" s="25"/>
    </row>
    <row r="972" spans="2:14" ht="15.6" x14ac:dyDescent="0.3">
      <c r="B972" s="31"/>
      <c r="C972" s="31"/>
      <c r="M972" s="25"/>
      <c r="N972" s="25"/>
    </row>
    <row r="973" spans="2:14" ht="15.6" x14ac:dyDescent="0.3">
      <c r="B973" s="31"/>
      <c r="C973" s="31"/>
      <c r="M973" s="25"/>
      <c r="N973" s="25"/>
    </row>
    <row r="974" spans="2:14" ht="15.6" x14ac:dyDescent="0.3">
      <c r="B974" s="31"/>
      <c r="C974" s="31"/>
      <c r="M974" s="25"/>
      <c r="N974" s="25"/>
    </row>
    <row r="975" spans="2:14" ht="15.6" x14ac:dyDescent="0.3">
      <c r="B975" s="31"/>
      <c r="C975" s="31"/>
      <c r="M975" s="25"/>
      <c r="N975" s="25"/>
    </row>
    <row r="976" spans="2:14" ht="15.6" x14ac:dyDescent="0.3">
      <c r="B976" s="31"/>
      <c r="C976" s="31"/>
      <c r="M976" s="25"/>
      <c r="N976" s="25"/>
    </row>
    <row r="977" spans="2:14" ht="15.6" x14ac:dyDescent="0.3">
      <c r="B977" s="31"/>
      <c r="C977" s="31"/>
      <c r="M977" s="25"/>
      <c r="N977" s="25"/>
    </row>
    <row r="978" spans="2:14" ht="15.6" x14ac:dyDescent="0.3">
      <c r="B978" s="31"/>
      <c r="C978" s="31"/>
      <c r="M978" s="25"/>
      <c r="N978" s="25"/>
    </row>
    <row r="979" spans="2:14" ht="15.6" x14ac:dyDescent="0.3">
      <c r="B979" s="31"/>
      <c r="C979" s="31"/>
      <c r="M979" s="25"/>
      <c r="N979" s="25"/>
    </row>
    <row r="980" spans="2:14" ht="15.6" x14ac:dyDescent="0.3">
      <c r="B980" s="31"/>
      <c r="C980" s="31"/>
      <c r="M980" s="25"/>
      <c r="N980" s="25"/>
    </row>
    <row r="981" spans="2:14" ht="15.6" x14ac:dyDescent="0.3">
      <c r="B981" s="31"/>
      <c r="C981" s="31"/>
      <c r="M981" s="25"/>
      <c r="N981" s="25"/>
    </row>
    <row r="982" spans="2:14" ht="15.6" x14ac:dyDescent="0.3">
      <c r="B982" s="31"/>
      <c r="C982" s="31"/>
      <c r="M982" s="25"/>
      <c r="N982" s="25"/>
    </row>
    <row r="983" spans="2:14" ht="15.6" x14ac:dyDescent="0.3">
      <c r="B983" s="31"/>
      <c r="C983" s="31"/>
      <c r="M983" s="25"/>
      <c r="N983" s="25"/>
    </row>
    <row r="984" spans="2:14" ht="15.6" x14ac:dyDescent="0.3">
      <c r="B984" s="31"/>
      <c r="C984" s="31"/>
      <c r="M984" s="25"/>
      <c r="N984" s="25"/>
    </row>
    <row r="985" spans="2:14" ht="15.6" x14ac:dyDescent="0.3">
      <c r="B985" s="31"/>
      <c r="C985" s="31"/>
      <c r="M985" s="25"/>
      <c r="N985" s="25"/>
    </row>
    <row r="986" spans="2:14" ht="15.6" x14ac:dyDescent="0.3">
      <c r="B986" s="31"/>
      <c r="C986" s="31"/>
      <c r="M986" s="25"/>
      <c r="N986" s="25"/>
    </row>
    <row r="987" spans="2:14" ht="15.6" x14ac:dyDescent="0.3">
      <c r="B987" s="31"/>
      <c r="C987" s="31"/>
      <c r="M987" s="25"/>
      <c r="N987" s="25"/>
    </row>
    <row r="988" spans="2:14" ht="15.6" x14ac:dyDescent="0.3">
      <c r="B988" s="31"/>
      <c r="C988" s="31"/>
      <c r="M988" s="25"/>
      <c r="N988" s="25"/>
    </row>
    <row r="989" spans="2:14" ht="15.6" x14ac:dyDescent="0.3">
      <c r="B989" s="31"/>
      <c r="C989" s="31"/>
      <c r="M989" s="25"/>
      <c r="N989" s="25"/>
    </row>
    <row r="990" spans="2:14" ht="15.6" x14ac:dyDescent="0.3">
      <c r="B990" s="31"/>
      <c r="C990" s="31"/>
      <c r="M990" s="25"/>
      <c r="N990" s="25"/>
    </row>
    <row r="991" spans="2:14" ht="15.6" x14ac:dyDescent="0.3">
      <c r="B991" s="31"/>
      <c r="C991" s="31"/>
      <c r="M991" s="25"/>
      <c r="N991" s="25"/>
    </row>
    <row r="992" spans="2:14" ht="15.6" x14ac:dyDescent="0.3">
      <c r="B992" s="31"/>
      <c r="C992" s="31"/>
      <c r="M992" s="25"/>
      <c r="N992" s="25"/>
    </row>
    <row r="993" spans="2:14" ht="15.6" x14ac:dyDescent="0.3">
      <c r="B993" s="31"/>
      <c r="C993" s="31"/>
      <c r="M993" s="25"/>
      <c r="N993" s="25"/>
    </row>
    <row r="994" spans="2:14" ht="15.6" x14ac:dyDescent="0.3">
      <c r="B994" s="31"/>
      <c r="C994" s="31"/>
      <c r="M994" s="25"/>
      <c r="N994" s="25"/>
    </row>
    <row r="995" spans="2:14" ht="15.6" x14ac:dyDescent="0.3">
      <c r="B995" s="31"/>
      <c r="C995" s="31"/>
      <c r="M995" s="25"/>
      <c r="N995" s="25"/>
    </row>
    <row r="996" spans="2:14" ht="15.6" x14ac:dyDescent="0.3">
      <c r="B996" s="31"/>
      <c r="C996" s="31"/>
      <c r="M996" s="25"/>
      <c r="N996" s="25"/>
    </row>
    <row r="997" spans="2:14" ht="15.6" x14ac:dyDescent="0.3">
      <c r="B997" s="31"/>
      <c r="C997" s="31"/>
      <c r="M997" s="25"/>
      <c r="N997" s="25"/>
    </row>
    <row r="998" spans="2:14" ht="15.6" x14ac:dyDescent="0.3">
      <c r="B998" s="31"/>
      <c r="C998" s="31"/>
      <c r="M998" s="25"/>
      <c r="N998" s="25"/>
    </row>
    <row r="999" spans="2:14" ht="15.6" x14ac:dyDescent="0.3">
      <c r="B999" s="31"/>
      <c r="C999" s="31"/>
      <c r="M999" s="25"/>
      <c r="N999" s="25"/>
    </row>
    <row r="1000" spans="2:14" ht="15.6" x14ac:dyDescent="0.3">
      <c r="B1000" s="31"/>
      <c r="C1000" s="31"/>
      <c r="M1000" s="25"/>
      <c r="N1000" s="25"/>
    </row>
    <row r="1001" spans="2:14" ht="15.6" x14ac:dyDescent="0.3">
      <c r="B1001" s="31"/>
      <c r="C1001" s="31"/>
      <c r="M1001" s="25"/>
      <c r="N1001" s="25"/>
    </row>
    <row r="1002" spans="2:14" ht="15.6" x14ac:dyDescent="0.3">
      <c r="B1002" s="31"/>
      <c r="C1002" s="31"/>
      <c r="M1002" s="25"/>
      <c r="N1002" s="25"/>
    </row>
    <row r="1003" spans="2:14" ht="15.6" x14ac:dyDescent="0.3">
      <c r="B1003" s="31"/>
      <c r="C1003" s="31"/>
      <c r="M1003" s="25"/>
      <c r="N1003" s="25"/>
    </row>
    <row r="1004" spans="2:14" ht="15.6" x14ac:dyDescent="0.3">
      <c r="B1004" s="31"/>
      <c r="C1004" s="31"/>
      <c r="M1004" s="25"/>
      <c r="N1004" s="25"/>
    </row>
    <row r="1005" spans="2:14" ht="15.6" x14ac:dyDescent="0.3">
      <c r="B1005" s="31"/>
      <c r="C1005" s="31"/>
      <c r="M1005" s="25"/>
      <c r="N1005" s="25"/>
    </row>
    <row r="1006" spans="2:14" ht="15.6" x14ac:dyDescent="0.3">
      <c r="B1006" s="31"/>
      <c r="C1006" s="31"/>
      <c r="M1006" s="25"/>
      <c r="N1006" s="25"/>
    </row>
    <row r="1007" spans="2:14" ht="15.6" x14ac:dyDescent="0.3">
      <c r="B1007" s="31"/>
      <c r="C1007" s="31"/>
      <c r="M1007" s="25"/>
      <c r="N1007" s="25"/>
    </row>
    <row r="1008" spans="2:14" ht="15.6" x14ac:dyDescent="0.3">
      <c r="B1008" s="31"/>
      <c r="C1008" s="31"/>
      <c r="M1008" s="25"/>
      <c r="N1008" s="25"/>
    </row>
    <row r="1009" spans="2:14" ht="15.6" x14ac:dyDescent="0.3">
      <c r="B1009" s="31"/>
      <c r="C1009" s="31"/>
      <c r="M1009" s="25"/>
      <c r="N1009" s="25"/>
    </row>
    <row r="1010" spans="2:14" ht="15.6" x14ac:dyDescent="0.3">
      <c r="B1010" s="31"/>
      <c r="C1010" s="31"/>
      <c r="M1010" s="25"/>
      <c r="N1010" s="25"/>
    </row>
    <row r="1011" spans="2:14" ht="15.6" x14ac:dyDescent="0.3">
      <c r="B1011" s="31"/>
      <c r="C1011" s="31"/>
      <c r="M1011" s="25"/>
      <c r="N1011" s="25"/>
    </row>
    <row r="1012" spans="2:14" ht="15.6" x14ac:dyDescent="0.3">
      <c r="B1012" s="31"/>
      <c r="C1012" s="31"/>
      <c r="M1012" s="25"/>
      <c r="N1012" s="25"/>
    </row>
    <row r="1013" spans="2:14" ht="15.6" x14ac:dyDescent="0.3">
      <c r="B1013" s="31"/>
      <c r="C1013" s="31"/>
      <c r="M1013" s="25"/>
      <c r="N1013" s="25"/>
    </row>
    <row r="1014" spans="2:14" ht="15.6" x14ac:dyDescent="0.3">
      <c r="B1014" s="31"/>
      <c r="C1014" s="31"/>
      <c r="M1014" s="25"/>
      <c r="N1014" s="25"/>
    </row>
    <row r="1015" spans="2:14" ht="15.6" x14ac:dyDescent="0.3">
      <c r="B1015" s="31"/>
      <c r="C1015" s="31"/>
      <c r="M1015" s="25"/>
      <c r="N1015" s="25"/>
    </row>
    <row r="1016" spans="2:14" ht="15.6" x14ac:dyDescent="0.3">
      <c r="B1016" s="32"/>
      <c r="C1016" s="32"/>
      <c r="M1016" s="25"/>
      <c r="N1016" s="25"/>
    </row>
    <row r="1017" spans="2:14" ht="15.6" x14ac:dyDescent="0.3">
      <c r="B1017" s="32"/>
      <c r="C1017" s="32"/>
      <c r="M1017" s="25"/>
      <c r="N1017" s="25"/>
    </row>
    <row r="1018" spans="2:14" ht="15.6" x14ac:dyDescent="0.3">
      <c r="B1018" s="32"/>
      <c r="C1018" s="32"/>
      <c r="M1018" s="25"/>
      <c r="N1018" s="25"/>
    </row>
    <row r="1019" spans="2:14" ht="15.6" x14ac:dyDescent="0.3">
      <c r="B1019" s="32"/>
      <c r="C1019" s="32"/>
      <c r="M1019" s="25"/>
      <c r="N1019" s="25"/>
    </row>
    <row r="1020" spans="2:14" ht="15.6" x14ac:dyDescent="0.3">
      <c r="B1020" s="32"/>
      <c r="C1020" s="32"/>
      <c r="M1020" s="25"/>
      <c r="N1020" s="25"/>
    </row>
    <row r="1021" spans="2:14" ht="15.6" x14ac:dyDescent="0.3">
      <c r="B1021" s="32"/>
      <c r="C1021" s="32"/>
      <c r="M1021" s="25"/>
      <c r="N1021" s="25"/>
    </row>
    <row r="1022" spans="2:14" ht="15.6" x14ac:dyDescent="0.3">
      <c r="B1022" s="32"/>
      <c r="C1022" s="32"/>
      <c r="M1022" s="25"/>
      <c r="N1022" s="25"/>
    </row>
    <row r="1023" spans="2:14" ht="15.6" x14ac:dyDescent="0.3">
      <c r="B1023" s="32"/>
      <c r="C1023" s="32"/>
      <c r="M1023" s="25"/>
      <c r="N1023" s="25"/>
    </row>
    <row r="1024" spans="2:14" ht="15.6" x14ac:dyDescent="0.3">
      <c r="B1024" s="32"/>
      <c r="C1024" s="32"/>
      <c r="M1024" s="25"/>
      <c r="N1024" s="25"/>
    </row>
    <row r="1025" spans="2:14" ht="15.6" x14ac:dyDescent="0.3">
      <c r="B1025" s="32"/>
      <c r="C1025" s="32"/>
      <c r="M1025" s="25"/>
      <c r="N1025" s="25"/>
    </row>
    <row r="1026" spans="2:14" ht="15.6" x14ac:dyDescent="0.3">
      <c r="B1026" s="32"/>
      <c r="C1026" s="32"/>
      <c r="M1026" s="25"/>
      <c r="N1026" s="25"/>
    </row>
    <row r="1027" spans="2:14" ht="15.6" x14ac:dyDescent="0.3">
      <c r="B1027" s="32"/>
      <c r="C1027" s="32"/>
      <c r="M1027" s="25"/>
      <c r="N1027" s="25"/>
    </row>
    <row r="1028" spans="2:14" ht="15.6" x14ac:dyDescent="0.3">
      <c r="B1028" s="32"/>
      <c r="C1028" s="32"/>
      <c r="M1028" s="25"/>
      <c r="N1028" s="25"/>
    </row>
    <row r="1029" spans="2:14" ht="15.6" x14ac:dyDescent="0.3">
      <c r="B1029" s="32"/>
      <c r="C1029" s="32"/>
      <c r="M1029" s="25"/>
      <c r="N1029" s="25"/>
    </row>
    <row r="1030" spans="2:14" ht="15.6" x14ac:dyDescent="0.3">
      <c r="B1030" s="32"/>
      <c r="C1030" s="32"/>
      <c r="M1030" s="25"/>
      <c r="N1030" s="25"/>
    </row>
    <row r="1031" spans="2:14" ht="15.6" x14ac:dyDescent="0.3">
      <c r="B1031" s="32"/>
      <c r="C1031" s="32"/>
      <c r="M1031" s="25"/>
      <c r="N1031" s="25"/>
    </row>
    <row r="1032" spans="2:14" ht="15.6" x14ac:dyDescent="0.3">
      <c r="B1032" s="32"/>
      <c r="C1032" s="32"/>
      <c r="M1032" s="25"/>
      <c r="N1032" s="25"/>
    </row>
    <row r="1033" spans="2:14" ht="15.6" x14ac:dyDescent="0.3">
      <c r="B1033" s="32"/>
      <c r="C1033" s="32"/>
      <c r="M1033" s="25"/>
      <c r="N1033" s="25"/>
    </row>
    <row r="1034" spans="2:14" ht="15.6" x14ac:dyDescent="0.3">
      <c r="B1034" s="32"/>
      <c r="C1034" s="32"/>
      <c r="M1034" s="25"/>
      <c r="N1034" s="25"/>
    </row>
    <row r="1035" spans="2:14" ht="15.6" x14ac:dyDescent="0.3">
      <c r="B1035" s="32"/>
      <c r="C1035" s="32"/>
      <c r="M1035" s="25"/>
      <c r="N1035" s="25"/>
    </row>
    <row r="1036" spans="2:14" ht="15.6" x14ac:dyDescent="0.3">
      <c r="B1036" s="32"/>
      <c r="C1036" s="32"/>
      <c r="M1036" s="25"/>
      <c r="N1036" s="25"/>
    </row>
    <row r="1037" spans="2:14" ht="15.6" x14ac:dyDescent="0.3">
      <c r="B1037" s="32"/>
      <c r="C1037" s="32"/>
      <c r="M1037" s="25"/>
      <c r="N1037" s="25"/>
    </row>
    <row r="1038" spans="2:14" ht="15.6" x14ac:dyDescent="0.3">
      <c r="B1038" s="32"/>
      <c r="C1038" s="32"/>
      <c r="M1038" s="25"/>
      <c r="N1038" s="25"/>
    </row>
    <row r="1039" spans="2:14" ht="15.6" x14ac:dyDescent="0.3">
      <c r="B1039" s="32"/>
      <c r="C1039" s="32"/>
      <c r="M1039" s="25"/>
      <c r="N1039" s="25"/>
    </row>
    <row r="1040" spans="2:14" ht="15.6" x14ac:dyDescent="0.3">
      <c r="B1040" s="32"/>
      <c r="C1040" s="32"/>
      <c r="M1040" s="25"/>
      <c r="N1040" s="25"/>
    </row>
    <row r="1041" spans="2:14" ht="15.6" x14ac:dyDescent="0.3">
      <c r="B1041" s="32"/>
      <c r="C1041" s="32"/>
      <c r="M1041" s="25"/>
      <c r="N1041" s="25"/>
    </row>
    <row r="1042" spans="2:14" ht="15.6" x14ac:dyDescent="0.3">
      <c r="B1042" s="32"/>
      <c r="C1042" s="32"/>
      <c r="M1042" s="25"/>
      <c r="N1042" s="25"/>
    </row>
    <row r="1043" spans="2:14" ht="15.6" x14ac:dyDescent="0.3">
      <c r="B1043" s="32"/>
      <c r="C1043" s="32"/>
      <c r="M1043" s="25"/>
      <c r="N1043" s="25"/>
    </row>
    <row r="1044" spans="2:14" ht="15.6" x14ac:dyDescent="0.3">
      <c r="B1044" s="32"/>
      <c r="C1044" s="32"/>
      <c r="M1044" s="25"/>
      <c r="N1044" s="25"/>
    </row>
    <row r="1045" spans="2:14" ht="15.6" x14ac:dyDescent="0.3">
      <c r="B1045" s="32"/>
      <c r="C1045" s="32"/>
      <c r="M1045" s="25"/>
      <c r="N1045" s="25"/>
    </row>
    <row r="1046" spans="2:14" ht="15.6" x14ac:dyDescent="0.3">
      <c r="B1046" s="32"/>
      <c r="C1046" s="32"/>
      <c r="M1046" s="25"/>
      <c r="N1046" s="25"/>
    </row>
    <row r="1047" spans="2:14" ht="15.6" x14ac:dyDescent="0.3">
      <c r="B1047" s="32"/>
      <c r="C1047" s="32"/>
      <c r="M1047" s="25"/>
      <c r="N1047" s="25"/>
    </row>
    <row r="1048" spans="2:14" ht="15.6" x14ac:dyDescent="0.3">
      <c r="B1048" s="32"/>
      <c r="C1048" s="32"/>
      <c r="M1048" s="25"/>
      <c r="N1048" s="25"/>
    </row>
    <row r="1049" spans="2:14" ht="15.6" x14ac:dyDescent="0.3">
      <c r="B1049" s="32"/>
      <c r="C1049" s="32"/>
      <c r="M1049" s="25"/>
      <c r="N1049" s="25"/>
    </row>
    <row r="1050" spans="2:14" ht="15.6" x14ac:dyDescent="0.3">
      <c r="B1050" s="32"/>
      <c r="C1050" s="32"/>
      <c r="M1050" s="25"/>
      <c r="N1050" s="25"/>
    </row>
    <row r="1051" spans="2:14" ht="15.6" x14ac:dyDescent="0.3">
      <c r="B1051" s="32"/>
      <c r="C1051" s="32"/>
      <c r="M1051" s="25"/>
      <c r="N1051" s="25"/>
    </row>
    <row r="1052" spans="2:14" ht="15.6" x14ac:dyDescent="0.3">
      <c r="B1052" s="32"/>
      <c r="C1052" s="32"/>
      <c r="M1052" s="25"/>
      <c r="N1052" s="25"/>
    </row>
    <row r="1053" spans="2:14" ht="15.6" x14ac:dyDescent="0.3">
      <c r="B1053" s="32"/>
      <c r="C1053" s="32"/>
      <c r="M1053" s="25"/>
      <c r="N1053" s="25"/>
    </row>
    <row r="1054" spans="2:14" ht="15.6" x14ac:dyDescent="0.3">
      <c r="B1054" s="32"/>
      <c r="C1054" s="32"/>
      <c r="M1054" s="25"/>
      <c r="N1054" s="25"/>
    </row>
    <row r="1055" spans="2:14" ht="15.6" x14ac:dyDescent="0.3">
      <c r="B1055" s="32"/>
      <c r="C1055" s="32"/>
      <c r="M1055" s="25"/>
      <c r="N1055" s="25"/>
    </row>
    <row r="1056" spans="2:14" ht="15.6" x14ac:dyDescent="0.3">
      <c r="B1056" s="32"/>
      <c r="C1056" s="32"/>
      <c r="M1056" s="25"/>
      <c r="N1056" s="25"/>
    </row>
    <row r="1057" spans="2:14" ht="15.6" x14ac:dyDescent="0.3">
      <c r="B1057" s="32"/>
      <c r="C1057" s="32"/>
      <c r="M1057" s="25"/>
      <c r="N1057" s="25"/>
    </row>
    <row r="1058" spans="2:14" ht="15.6" x14ac:dyDescent="0.3">
      <c r="B1058" s="32"/>
      <c r="C1058" s="32"/>
      <c r="M1058" s="25"/>
      <c r="N1058" s="25"/>
    </row>
    <row r="1059" spans="2:14" ht="15.6" x14ac:dyDescent="0.3">
      <c r="B1059" s="32"/>
      <c r="C1059" s="32"/>
      <c r="M1059" s="25"/>
      <c r="N1059" s="25"/>
    </row>
    <row r="1060" spans="2:14" ht="15.6" x14ac:dyDescent="0.3">
      <c r="B1060" s="32"/>
      <c r="C1060" s="32"/>
      <c r="M1060" s="25"/>
      <c r="N1060" s="25"/>
    </row>
    <row r="1061" spans="2:14" ht="15.6" x14ac:dyDescent="0.3">
      <c r="B1061" s="32"/>
      <c r="C1061" s="32"/>
      <c r="M1061" s="25"/>
      <c r="N1061" s="25"/>
    </row>
    <row r="1062" spans="2:14" ht="15.6" x14ac:dyDescent="0.3">
      <c r="B1062" s="32"/>
      <c r="C1062" s="32"/>
      <c r="M1062" s="25"/>
      <c r="N1062" s="25"/>
    </row>
    <row r="1063" spans="2:14" ht="15.6" x14ac:dyDescent="0.3">
      <c r="B1063" s="32"/>
      <c r="C1063" s="32"/>
      <c r="M1063" s="25"/>
      <c r="N1063" s="25"/>
    </row>
    <row r="1064" spans="2:14" ht="15.6" x14ac:dyDescent="0.3">
      <c r="B1064" s="32"/>
      <c r="C1064" s="32"/>
      <c r="M1064" s="25"/>
      <c r="N1064" s="25"/>
    </row>
    <row r="1065" spans="2:14" ht="15.6" x14ac:dyDescent="0.3">
      <c r="B1065" s="32"/>
      <c r="C1065" s="32"/>
      <c r="M1065" s="25"/>
      <c r="N1065" s="25"/>
    </row>
    <row r="1066" spans="2:14" ht="15.6" x14ac:dyDescent="0.3">
      <c r="B1066" s="32"/>
      <c r="C1066" s="32"/>
      <c r="M1066" s="25"/>
      <c r="N1066" s="25"/>
    </row>
    <row r="1067" spans="2:14" ht="15.6" x14ac:dyDescent="0.3">
      <c r="B1067" s="32"/>
      <c r="C1067" s="32"/>
      <c r="M1067" s="25"/>
      <c r="N1067" s="25"/>
    </row>
    <row r="1068" spans="2:14" ht="15.6" x14ac:dyDescent="0.3">
      <c r="B1068" s="32"/>
      <c r="C1068" s="32"/>
      <c r="M1068" s="25"/>
      <c r="N1068" s="25"/>
    </row>
    <row r="1069" spans="2:14" ht="15.6" x14ac:dyDescent="0.3">
      <c r="B1069" s="32"/>
      <c r="C1069" s="32"/>
      <c r="M1069" s="25"/>
      <c r="N1069" s="25"/>
    </row>
    <row r="1070" spans="2:14" ht="15.6" x14ac:dyDescent="0.3">
      <c r="B1070" s="32"/>
      <c r="C1070" s="32"/>
      <c r="M1070" s="25"/>
      <c r="N1070" s="25"/>
    </row>
    <row r="1071" spans="2:14" ht="15.6" x14ac:dyDescent="0.3">
      <c r="B1071" s="32"/>
      <c r="C1071" s="32"/>
      <c r="M1071" s="25"/>
      <c r="N1071" s="25"/>
    </row>
    <row r="1072" spans="2:14" ht="15.6" x14ac:dyDescent="0.3">
      <c r="B1072" s="32"/>
      <c r="C1072" s="32"/>
      <c r="M1072" s="25"/>
      <c r="N1072" s="25"/>
    </row>
    <row r="1073" spans="2:14" ht="15.6" x14ac:dyDescent="0.3">
      <c r="B1073" s="32"/>
      <c r="C1073" s="32"/>
      <c r="M1073" s="25"/>
      <c r="N1073" s="25"/>
    </row>
    <row r="1074" spans="2:14" ht="15.6" x14ac:dyDescent="0.3">
      <c r="B1074" s="32"/>
      <c r="C1074" s="32"/>
      <c r="M1074" s="25"/>
      <c r="N1074" s="25"/>
    </row>
    <row r="1075" spans="2:14" ht="15.6" x14ac:dyDescent="0.3">
      <c r="B1075" s="32"/>
      <c r="C1075" s="32"/>
      <c r="M1075" s="25"/>
      <c r="N1075" s="25"/>
    </row>
    <row r="1076" spans="2:14" ht="15.6" x14ac:dyDescent="0.3">
      <c r="B1076" s="32"/>
      <c r="C1076" s="32"/>
      <c r="M1076" s="25"/>
      <c r="N1076" s="25"/>
    </row>
    <row r="1077" spans="2:14" ht="15.6" x14ac:dyDescent="0.3">
      <c r="B1077" s="32"/>
      <c r="C1077" s="32"/>
      <c r="M1077" s="25"/>
      <c r="N1077" s="25"/>
    </row>
    <row r="1078" spans="2:14" ht="15.6" x14ac:dyDescent="0.3">
      <c r="B1078" s="32"/>
      <c r="C1078" s="32"/>
      <c r="M1078" s="25"/>
      <c r="N1078" s="25"/>
    </row>
    <row r="1079" spans="2:14" ht="15.6" x14ac:dyDescent="0.3">
      <c r="B1079" s="32"/>
      <c r="C1079" s="32"/>
      <c r="M1079" s="25"/>
      <c r="N1079" s="25"/>
    </row>
    <row r="1080" spans="2:14" ht="15.6" x14ac:dyDescent="0.3">
      <c r="B1080" s="32"/>
      <c r="C1080" s="32"/>
      <c r="M1080" s="25"/>
      <c r="N1080" s="25"/>
    </row>
    <row r="1081" spans="2:14" ht="15.6" x14ac:dyDescent="0.3">
      <c r="B1081" s="32"/>
      <c r="C1081" s="32"/>
      <c r="M1081" s="25"/>
      <c r="N1081" s="25"/>
    </row>
    <row r="1082" spans="2:14" ht="15.6" x14ac:dyDescent="0.3">
      <c r="B1082" s="32"/>
      <c r="C1082" s="32"/>
      <c r="M1082" s="25"/>
      <c r="N1082" s="25"/>
    </row>
    <row r="1083" spans="2:14" ht="15.6" x14ac:dyDescent="0.3">
      <c r="B1083" s="32"/>
      <c r="C1083" s="32"/>
      <c r="M1083" s="25"/>
      <c r="N1083" s="25"/>
    </row>
    <row r="1084" spans="2:14" ht="15.6" x14ac:dyDescent="0.3">
      <c r="B1084" s="32"/>
      <c r="C1084" s="32"/>
      <c r="M1084" s="25"/>
      <c r="N1084" s="25"/>
    </row>
    <row r="1085" spans="2:14" ht="15.6" x14ac:dyDescent="0.3">
      <c r="B1085" s="32"/>
      <c r="C1085" s="32"/>
      <c r="M1085" s="25"/>
      <c r="N1085" s="25"/>
    </row>
    <row r="1086" spans="2:14" ht="15.6" x14ac:dyDescent="0.3">
      <c r="B1086" s="32"/>
      <c r="C1086" s="32"/>
      <c r="M1086" s="25"/>
      <c r="N1086" s="25"/>
    </row>
    <row r="1087" spans="2:14" ht="15.6" x14ac:dyDescent="0.3">
      <c r="B1087" s="32"/>
      <c r="C1087" s="32"/>
      <c r="M1087" s="25"/>
      <c r="N1087" s="25"/>
    </row>
    <row r="1088" spans="2:14" ht="15.6" x14ac:dyDescent="0.3">
      <c r="B1088" s="32"/>
      <c r="C1088" s="32"/>
      <c r="M1088" s="25"/>
      <c r="N1088" s="25"/>
    </row>
    <row r="1089" spans="2:14" ht="15.6" x14ac:dyDescent="0.3">
      <c r="B1089" s="32"/>
      <c r="C1089" s="32"/>
      <c r="M1089" s="25"/>
      <c r="N1089" s="25"/>
    </row>
    <row r="1090" spans="2:14" ht="15.6" x14ac:dyDescent="0.3">
      <c r="B1090" s="32"/>
      <c r="C1090" s="32"/>
      <c r="M1090" s="25"/>
      <c r="N1090" s="25"/>
    </row>
    <row r="1091" spans="2:14" ht="15.6" x14ac:dyDescent="0.3">
      <c r="B1091" s="32"/>
      <c r="C1091" s="32"/>
      <c r="M1091" s="25"/>
      <c r="N1091" s="25"/>
    </row>
    <row r="1092" spans="2:14" ht="15.6" x14ac:dyDescent="0.3">
      <c r="B1092" s="32"/>
      <c r="C1092" s="32"/>
      <c r="M1092" s="25"/>
      <c r="N1092" s="25"/>
    </row>
    <row r="1093" spans="2:14" ht="15.6" x14ac:dyDescent="0.3">
      <c r="B1093" s="32"/>
      <c r="C1093" s="32"/>
      <c r="M1093" s="25"/>
      <c r="N1093" s="25"/>
    </row>
    <row r="1094" spans="2:14" ht="15.6" x14ac:dyDescent="0.3">
      <c r="B1094" s="32"/>
      <c r="C1094" s="32"/>
      <c r="M1094" s="25"/>
      <c r="N1094" s="25"/>
    </row>
    <row r="1095" spans="2:14" ht="15.6" x14ac:dyDescent="0.3">
      <c r="B1095" s="32"/>
      <c r="C1095" s="32"/>
      <c r="M1095" s="25"/>
      <c r="N1095" s="25"/>
    </row>
    <row r="1096" spans="2:14" ht="15.6" x14ac:dyDescent="0.3">
      <c r="B1096" s="32"/>
      <c r="C1096" s="32"/>
      <c r="M1096" s="25"/>
      <c r="N1096" s="25"/>
    </row>
    <row r="1097" spans="2:14" ht="15.6" x14ac:dyDescent="0.3">
      <c r="B1097" s="32"/>
      <c r="C1097" s="32"/>
      <c r="M1097" s="25"/>
      <c r="N1097" s="25"/>
    </row>
    <row r="1098" spans="2:14" ht="15.6" x14ac:dyDescent="0.3">
      <c r="B1098" s="32"/>
      <c r="C1098" s="32"/>
      <c r="M1098" s="25"/>
      <c r="N1098" s="25"/>
    </row>
    <row r="1099" spans="2:14" ht="15.6" x14ac:dyDescent="0.3">
      <c r="B1099" s="32"/>
      <c r="C1099" s="32"/>
      <c r="M1099" s="25"/>
      <c r="N1099" s="25"/>
    </row>
    <row r="1100" spans="2:14" ht="15.6" x14ac:dyDescent="0.3">
      <c r="B1100" s="32"/>
      <c r="C1100" s="32"/>
      <c r="M1100" s="25"/>
      <c r="N1100" s="25"/>
    </row>
    <row r="1101" spans="2:14" ht="15.6" x14ac:dyDescent="0.3">
      <c r="B1101" s="32"/>
      <c r="C1101" s="32"/>
      <c r="M1101" s="25"/>
      <c r="N1101" s="25"/>
    </row>
    <row r="1102" spans="2:14" ht="15.6" x14ac:dyDescent="0.3">
      <c r="B1102" s="32"/>
      <c r="C1102" s="32"/>
      <c r="M1102" s="25"/>
      <c r="N1102" s="25"/>
    </row>
    <row r="1103" spans="2:14" ht="15.6" x14ac:dyDescent="0.3">
      <c r="B1103" s="32"/>
      <c r="C1103" s="32"/>
      <c r="M1103" s="25"/>
      <c r="N1103" s="25"/>
    </row>
    <row r="1104" spans="2:14" ht="15.6" x14ac:dyDescent="0.3">
      <c r="B1104" s="32"/>
      <c r="C1104" s="32"/>
      <c r="M1104" s="25"/>
      <c r="N1104" s="25"/>
    </row>
    <row r="1105" spans="2:14" ht="15.6" x14ac:dyDescent="0.3">
      <c r="B1105" s="32"/>
      <c r="C1105" s="32"/>
      <c r="M1105" s="25"/>
      <c r="N1105" s="25"/>
    </row>
    <row r="1106" spans="2:14" ht="15.6" x14ac:dyDescent="0.3">
      <c r="B1106" s="32"/>
      <c r="C1106" s="32"/>
      <c r="M1106" s="25"/>
      <c r="N1106" s="25"/>
    </row>
    <row r="1107" spans="2:14" ht="15.6" x14ac:dyDescent="0.3">
      <c r="B1107" s="32"/>
      <c r="C1107" s="32"/>
      <c r="M1107" s="25"/>
      <c r="N1107" s="25"/>
    </row>
    <row r="1108" spans="2:14" ht="15.6" x14ac:dyDescent="0.3">
      <c r="B1108" s="32"/>
      <c r="C1108" s="32"/>
      <c r="M1108" s="25"/>
      <c r="N1108" s="25"/>
    </row>
    <row r="1109" spans="2:14" ht="15.6" x14ac:dyDescent="0.3">
      <c r="B1109" s="32"/>
      <c r="C1109" s="32"/>
      <c r="M1109" s="25"/>
      <c r="N1109" s="25"/>
    </row>
    <row r="1110" spans="2:14" ht="15.6" x14ac:dyDescent="0.3">
      <c r="B1110" s="32"/>
      <c r="C1110" s="32"/>
      <c r="M1110" s="25"/>
      <c r="N1110" s="25"/>
    </row>
    <row r="1111" spans="2:14" ht="15.6" x14ac:dyDescent="0.3">
      <c r="B1111" s="32"/>
      <c r="C1111" s="32"/>
      <c r="M1111" s="25"/>
      <c r="N1111" s="25"/>
    </row>
    <row r="1112" spans="2:14" ht="15.6" x14ac:dyDescent="0.3">
      <c r="B1112" s="32"/>
      <c r="C1112" s="32"/>
      <c r="M1112" s="25"/>
      <c r="N1112" s="25"/>
    </row>
    <row r="1113" spans="2:14" ht="15.6" x14ac:dyDescent="0.3">
      <c r="B1113" s="32"/>
      <c r="C1113" s="32"/>
      <c r="M1113" s="25"/>
      <c r="N1113" s="25"/>
    </row>
    <row r="1114" spans="2:14" ht="15.6" x14ac:dyDescent="0.3">
      <c r="B1114" s="32"/>
      <c r="C1114" s="32"/>
      <c r="M1114" s="25"/>
      <c r="N1114" s="25"/>
    </row>
    <row r="1115" spans="2:14" ht="15.6" x14ac:dyDescent="0.3">
      <c r="B1115" s="32"/>
      <c r="C1115" s="32"/>
      <c r="M1115" s="25"/>
      <c r="N1115" s="25"/>
    </row>
    <row r="1116" spans="2:14" ht="15.6" x14ac:dyDescent="0.3">
      <c r="B1116" s="32"/>
      <c r="C1116" s="32"/>
      <c r="M1116" s="25"/>
      <c r="N1116" s="25"/>
    </row>
    <row r="1117" spans="2:14" ht="15.6" x14ac:dyDescent="0.3">
      <c r="B1117" s="32"/>
      <c r="C1117" s="32"/>
      <c r="M1117" s="25"/>
      <c r="N1117" s="25"/>
    </row>
    <row r="1118" spans="2:14" ht="15.6" x14ac:dyDescent="0.3">
      <c r="B1118" s="32"/>
      <c r="C1118" s="32"/>
      <c r="M1118" s="25"/>
      <c r="N1118" s="25"/>
    </row>
    <row r="1119" spans="2:14" ht="15.6" x14ac:dyDescent="0.3">
      <c r="B1119" s="32"/>
      <c r="C1119" s="32"/>
      <c r="M1119" s="25"/>
      <c r="N1119" s="25"/>
    </row>
    <row r="1120" spans="2:14" ht="15.6" x14ac:dyDescent="0.3">
      <c r="B1120" s="32"/>
      <c r="C1120" s="32"/>
      <c r="M1120" s="25"/>
      <c r="N1120" s="25"/>
    </row>
    <row r="1121" spans="2:14" ht="15.6" x14ac:dyDescent="0.3">
      <c r="B1121" s="32"/>
      <c r="C1121" s="32"/>
      <c r="M1121" s="25"/>
      <c r="N1121" s="25"/>
    </row>
    <row r="1122" spans="2:14" ht="15.6" x14ac:dyDescent="0.3">
      <c r="B1122" s="32"/>
      <c r="C1122" s="32"/>
      <c r="M1122" s="25"/>
      <c r="N1122" s="25"/>
    </row>
    <row r="1123" spans="2:14" ht="15.6" x14ac:dyDescent="0.3">
      <c r="B1123" s="32"/>
      <c r="C1123" s="32"/>
      <c r="M1123" s="25"/>
      <c r="N1123" s="25"/>
    </row>
    <row r="1124" spans="2:14" ht="15.6" x14ac:dyDescent="0.3">
      <c r="B1124" s="32"/>
      <c r="C1124" s="32"/>
      <c r="M1124" s="25"/>
      <c r="N1124" s="25"/>
    </row>
    <row r="1125" spans="2:14" ht="15.6" x14ac:dyDescent="0.3">
      <c r="B1125" s="32"/>
      <c r="C1125" s="32"/>
      <c r="M1125" s="25"/>
      <c r="N1125" s="25"/>
    </row>
    <row r="1126" spans="2:14" ht="15.6" x14ac:dyDescent="0.3">
      <c r="B1126" s="32"/>
      <c r="C1126" s="32"/>
      <c r="M1126" s="25"/>
      <c r="N1126" s="25"/>
    </row>
    <row r="1127" spans="2:14" ht="15.6" x14ac:dyDescent="0.3">
      <c r="B1127" s="32"/>
      <c r="C1127" s="32"/>
      <c r="M1127" s="25"/>
      <c r="N1127" s="25"/>
    </row>
    <row r="1128" spans="2:14" ht="15.6" x14ac:dyDescent="0.3">
      <c r="B1128" s="32"/>
      <c r="C1128" s="32"/>
      <c r="M1128" s="25"/>
      <c r="N1128" s="25"/>
    </row>
    <row r="1129" spans="2:14" ht="15.6" x14ac:dyDescent="0.3">
      <c r="B1129" s="32"/>
      <c r="C1129" s="32"/>
      <c r="M1129" s="25"/>
      <c r="N1129" s="25"/>
    </row>
    <row r="1130" spans="2:14" ht="15.6" x14ac:dyDescent="0.3">
      <c r="B1130" s="32"/>
      <c r="C1130" s="32"/>
      <c r="M1130" s="25"/>
      <c r="N1130" s="25"/>
    </row>
    <row r="1131" spans="2:14" ht="15.6" x14ac:dyDescent="0.3">
      <c r="B1131" s="32"/>
      <c r="C1131" s="32"/>
      <c r="M1131" s="25"/>
      <c r="N1131" s="25"/>
    </row>
    <row r="1132" spans="2:14" ht="15.6" x14ac:dyDescent="0.3">
      <c r="B1132" s="32"/>
      <c r="C1132" s="32"/>
      <c r="M1132" s="25"/>
      <c r="N1132" s="25"/>
    </row>
    <row r="1133" spans="2:14" ht="15.6" x14ac:dyDescent="0.3">
      <c r="B1133" s="32"/>
      <c r="C1133" s="32"/>
      <c r="M1133" s="25"/>
      <c r="N1133" s="25"/>
    </row>
    <row r="1134" spans="2:14" ht="15.6" x14ac:dyDescent="0.3">
      <c r="B1134" s="32"/>
      <c r="C1134" s="32"/>
      <c r="M1134" s="25"/>
      <c r="N1134" s="25"/>
    </row>
    <row r="1135" spans="2:14" ht="15.6" x14ac:dyDescent="0.3">
      <c r="B1135" s="32"/>
      <c r="C1135" s="32"/>
      <c r="M1135" s="25"/>
      <c r="N1135" s="25"/>
    </row>
    <row r="1136" spans="2:14" ht="15.6" x14ac:dyDescent="0.3">
      <c r="B1136" s="32"/>
      <c r="C1136" s="32"/>
      <c r="M1136" s="25"/>
      <c r="N1136" s="25"/>
    </row>
    <row r="1137" spans="2:14" ht="15.6" x14ac:dyDescent="0.3">
      <c r="B1137" s="32"/>
      <c r="C1137" s="32"/>
      <c r="M1137" s="25"/>
      <c r="N1137" s="25"/>
    </row>
    <row r="1138" spans="2:14" ht="15.6" x14ac:dyDescent="0.3">
      <c r="B1138" s="32"/>
      <c r="C1138" s="32"/>
      <c r="M1138" s="25"/>
      <c r="N1138" s="25"/>
    </row>
    <row r="1139" spans="2:14" ht="15.6" x14ac:dyDescent="0.3">
      <c r="B1139" s="32"/>
      <c r="C1139" s="32"/>
      <c r="M1139" s="25"/>
      <c r="N1139" s="25"/>
    </row>
    <row r="1140" spans="2:14" ht="15.6" x14ac:dyDescent="0.3">
      <c r="B1140" s="32"/>
      <c r="C1140" s="32"/>
      <c r="M1140" s="25"/>
      <c r="N1140" s="25"/>
    </row>
    <row r="1141" spans="2:14" ht="15.6" x14ac:dyDescent="0.3">
      <c r="B1141" s="32"/>
      <c r="C1141" s="32"/>
      <c r="M1141" s="25"/>
      <c r="N1141" s="25"/>
    </row>
    <row r="1142" spans="2:14" ht="15.6" x14ac:dyDescent="0.3">
      <c r="B1142" s="32"/>
      <c r="C1142" s="32"/>
      <c r="M1142" s="25"/>
      <c r="N1142" s="25"/>
    </row>
    <row r="1143" spans="2:14" ht="15.6" x14ac:dyDescent="0.3">
      <c r="B1143" s="32"/>
      <c r="C1143" s="32"/>
      <c r="M1143" s="25"/>
      <c r="N1143" s="25"/>
    </row>
    <row r="1144" spans="2:14" ht="15.6" x14ac:dyDescent="0.3">
      <c r="B1144" s="32"/>
      <c r="C1144" s="32"/>
      <c r="M1144" s="25"/>
      <c r="N1144" s="25"/>
    </row>
    <row r="1145" spans="2:14" ht="15.6" x14ac:dyDescent="0.3">
      <c r="B1145" s="32"/>
      <c r="C1145" s="32"/>
      <c r="M1145" s="25"/>
      <c r="N1145" s="25"/>
    </row>
    <row r="1146" spans="2:14" ht="15.6" x14ac:dyDescent="0.3">
      <c r="B1146" s="32"/>
      <c r="C1146" s="32"/>
      <c r="M1146" s="25"/>
      <c r="N1146" s="25"/>
    </row>
    <row r="1147" spans="2:14" ht="15.6" x14ac:dyDescent="0.3">
      <c r="B1147" s="32"/>
      <c r="C1147" s="32"/>
      <c r="M1147" s="25"/>
      <c r="N1147" s="25"/>
    </row>
    <row r="1148" spans="2:14" ht="15.6" x14ac:dyDescent="0.3">
      <c r="B1148" s="32"/>
      <c r="C1148" s="32"/>
      <c r="M1148" s="25"/>
      <c r="N1148" s="25"/>
    </row>
    <row r="1149" spans="2:14" ht="15.6" x14ac:dyDescent="0.3">
      <c r="B1149" s="32"/>
      <c r="C1149" s="32"/>
      <c r="M1149" s="25"/>
      <c r="N1149" s="25"/>
    </row>
    <row r="1150" spans="2:14" ht="15.6" x14ac:dyDescent="0.3">
      <c r="B1150" s="32"/>
      <c r="C1150" s="32"/>
      <c r="M1150" s="25"/>
      <c r="N1150" s="25"/>
    </row>
    <row r="1151" spans="2:14" ht="15.6" x14ac:dyDescent="0.3">
      <c r="B1151" s="32"/>
      <c r="C1151" s="32"/>
      <c r="M1151" s="25"/>
      <c r="N1151" s="25"/>
    </row>
    <row r="1152" spans="2:14" ht="15.6" x14ac:dyDescent="0.3">
      <c r="B1152" s="32"/>
      <c r="C1152" s="32"/>
      <c r="M1152" s="25"/>
      <c r="N1152" s="25"/>
    </row>
    <row r="1153" spans="2:14" ht="15.6" x14ac:dyDescent="0.3">
      <c r="B1153" s="32"/>
      <c r="C1153" s="32"/>
      <c r="M1153" s="25"/>
      <c r="N1153" s="25"/>
    </row>
    <row r="1154" spans="2:14" ht="15.6" x14ac:dyDescent="0.3">
      <c r="B1154" s="32"/>
      <c r="C1154" s="32"/>
      <c r="M1154" s="25"/>
      <c r="N1154" s="25"/>
    </row>
    <row r="1155" spans="2:14" ht="15.6" x14ac:dyDescent="0.3">
      <c r="B1155" s="32"/>
      <c r="C1155" s="32"/>
      <c r="M1155" s="25"/>
      <c r="N1155" s="25"/>
    </row>
    <row r="1156" spans="2:14" ht="15.6" x14ac:dyDescent="0.3">
      <c r="B1156" s="32"/>
      <c r="C1156" s="32"/>
      <c r="M1156" s="25"/>
      <c r="N1156" s="25"/>
    </row>
    <row r="1157" spans="2:14" ht="15.6" x14ac:dyDescent="0.3">
      <c r="B1157" s="32"/>
      <c r="C1157" s="32"/>
      <c r="M1157" s="25"/>
      <c r="N1157" s="25"/>
    </row>
    <row r="1158" spans="2:14" ht="15.6" x14ac:dyDescent="0.3">
      <c r="B1158" s="32"/>
      <c r="C1158" s="32"/>
      <c r="M1158" s="25"/>
      <c r="N1158" s="25"/>
    </row>
    <row r="1159" spans="2:14" ht="15.6" x14ac:dyDescent="0.3">
      <c r="B1159" s="32"/>
      <c r="C1159" s="32"/>
      <c r="M1159" s="25"/>
      <c r="N1159" s="25"/>
    </row>
    <row r="1160" spans="2:14" ht="15.6" x14ac:dyDescent="0.3">
      <c r="B1160" s="32"/>
      <c r="C1160" s="32"/>
      <c r="M1160" s="25"/>
      <c r="N1160" s="25"/>
    </row>
    <row r="1161" spans="2:14" ht="15.6" x14ac:dyDescent="0.3">
      <c r="B1161" s="32"/>
      <c r="C1161" s="32"/>
      <c r="M1161" s="25"/>
      <c r="N1161" s="25"/>
    </row>
    <row r="1162" spans="2:14" ht="15.6" x14ac:dyDescent="0.3">
      <c r="B1162" s="32"/>
      <c r="C1162" s="32"/>
      <c r="M1162" s="25"/>
      <c r="N1162" s="25"/>
    </row>
    <row r="1163" spans="2:14" ht="15.6" x14ac:dyDescent="0.3">
      <c r="B1163" s="32"/>
      <c r="C1163" s="32"/>
      <c r="M1163" s="25"/>
      <c r="N1163" s="25"/>
    </row>
    <row r="1164" spans="2:14" ht="15.6" x14ac:dyDescent="0.3">
      <c r="B1164" s="32"/>
      <c r="C1164" s="32"/>
      <c r="M1164" s="25"/>
      <c r="N1164" s="25"/>
    </row>
    <row r="1165" spans="2:14" ht="15.6" x14ac:dyDescent="0.3">
      <c r="B1165" s="32"/>
      <c r="C1165" s="32"/>
      <c r="M1165" s="25"/>
      <c r="N1165" s="25"/>
    </row>
    <row r="1166" spans="2:14" ht="15.6" x14ac:dyDescent="0.3">
      <c r="B1166" s="32"/>
      <c r="C1166" s="32"/>
      <c r="M1166" s="25"/>
      <c r="N1166" s="25"/>
    </row>
    <row r="1167" spans="2:14" ht="15.6" x14ac:dyDescent="0.3">
      <c r="B1167" s="32"/>
      <c r="C1167" s="32"/>
      <c r="M1167" s="25"/>
      <c r="N1167" s="25"/>
    </row>
    <row r="1168" spans="2:14" ht="15.6" x14ac:dyDescent="0.3">
      <c r="B1168" s="32"/>
      <c r="C1168" s="32"/>
      <c r="M1168" s="25"/>
      <c r="N1168" s="25"/>
    </row>
    <row r="1169" spans="2:14" ht="15.6" x14ac:dyDescent="0.3">
      <c r="B1169" s="32"/>
      <c r="C1169" s="32"/>
      <c r="M1169" s="25"/>
      <c r="N1169" s="25"/>
    </row>
    <row r="1170" spans="2:14" ht="15.6" x14ac:dyDescent="0.3">
      <c r="B1170" s="32"/>
      <c r="C1170" s="32"/>
      <c r="M1170" s="25"/>
      <c r="N1170" s="25"/>
    </row>
    <row r="1171" spans="2:14" ht="15.6" x14ac:dyDescent="0.3">
      <c r="B1171" s="32"/>
      <c r="C1171" s="32"/>
      <c r="M1171" s="25"/>
      <c r="N1171" s="25"/>
    </row>
    <row r="1172" spans="2:14" ht="15.6" x14ac:dyDescent="0.3">
      <c r="B1172" s="32"/>
      <c r="C1172" s="32"/>
      <c r="M1172" s="25"/>
      <c r="N1172" s="25"/>
    </row>
    <row r="1173" spans="2:14" ht="15.6" x14ac:dyDescent="0.3">
      <c r="B1173" s="32"/>
      <c r="C1173" s="32"/>
      <c r="M1173" s="25"/>
      <c r="N1173" s="25"/>
    </row>
    <row r="1174" spans="2:14" ht="15.6" x14ac:dyDescent="0.3">
      <c r="B1174" s="32"/>
      <c r="C1174" s="32"/>
      <c r="M1174" s="25"/>
      <c r="N1174" s="25"/>
    </row>
    <row r="1175" spans="2:14" ht="15.6" x14ac:dyDescent="0.3">
      <c r="B1175" s="32"/>
      <c r="C1175" s="32"/>
      <c r="M1175" s="25"/>
      <c r="N1175" s="25"/>
    </row>
    <row r="1176" spans="2:14" ht="15.6" x14ac:dyDescent="0.3">
      <c r="B1176" s="32"/>
      <c r="C1176" s="32"/>
      <c r="M1176" s="25"/>
      <c r="N1176" s="25"/>
    </row>
    <row r="1177" spans="2:14" ht="15.6" x14ac:dyDescent="0.3">
      <c r="B1177" s="32"/>
      <c r="C1177" s="32"/>
      <c r="M1177" s="25"/>
      <c r="N1177" s="25"/>
    </row>
    <row r="1178" spans="2:14" ht="15.6" x14ac:dyDescent="0.3">
      <c r="B1178" s="32"/>
      <c r="C1178" s="32"/>
      <c r="M1178" s="25"/>
      <c r="N1178" s="25"/>
    </row>
    <row r="1179" spans="2:14" ht="15.6" x14ac:dyDescent="0.3">
      <c r="B1179" s="32"/>
      <c r="C1179" s="32"/>
      <c r="M1179" s="25"/>
      <c r="N1179" s="25"/>
    </row>
    <row r="1180" spans="2:14" ht="15.6" x14ac:dyDescent="0.3">
      <c r="B1180" s="32"/>
      <c r="C1180" s="32"/>
      <c r="M1180" s="25"/>
      <c r="N1180" s="25"/>
    </row>
    <row r="1181" spans="2:14" ht="15.6" x14ac:dyDescent="0.3">
      <c r="B1181" s="32"/>
      <c r="C1181" s="32"/>
      <c r="M1181" s="25"/>
      <c r="N1181" s="25"/>
    </row>
    <row r="1182" spans="2:14" ht="15.6" x14ac:dyDescent="0.3">
      <c r="B1182" s="32"/>
      <c r="C1182" s="32"/>
      <c r="M1182" s="25"/>
      <c r="N1182" s="25"/>
    </row>
    <row r="1183" spans="2:14" ht="15.6" x14ac:dyDescent="0.3">
      <c r="B1183" s="32"/>
      <c r="C1183" s="32"/>
      <c r="M1183" s="25"/>
      <c r="N1183" s="25"/>
    </row>
    <row r="1184" spans="2:14" ht="15.6" x14ac:dyDescent="0.3">
      <c r="B1184" s="32"/>
      <c r="C1184" s="32"/>
      <c r="M1184" s="25"/>
      <c r="N1184" s="25"/>
    </row>
    <row r="1185" spans="2:14" ht="15.6" x14ac:dyDescent="0.3">
      <c r="B1185" s="32"/>
      <c r="C1185" s="32"/>
      <c r="M1185" s="25"/>
      <c r="N1185" s="25"/>
    </row>
    <row r="1186" spans="2:14" ht="15.6" x14ac:dyDescent="0.3">
      <c r="B1186" s="32"/>
      <c r="C1186" s="32"/>
      <c r="M1186" s="25"/>
      <c r="N1186" s="25"/>
    </row>
    <row r="1187" spans="2:14" ht="15.6" x14ac:dyDescent="0.3">
      <c r="B1187" s="32"/>
      <c r="C1187" s="32"/>
      <c r="M1187" s="25"/>
      <c r="N1187" s="25"/>
    </row>
    <row r="1188" spans="2:14" ht="15.6" x14ac:dyDescent="0.3">
      <c r="B1188" s="32"/>
      <c r="C1188" s="32"/>
      <c r="M1188" s="25"/>
      <c r="N1188" s="25"/>
    </row>
    <row r="1189" spans="2:14" ht="15.6" x14ac:dyDescent="0.3">
      <c r="B1189" s="32"/>
      <c r="C1189" s="32"/>
      <c r="M1189" s="25"/>
      <c r="N1189" s="25"/>
    </row>
    <row r="1190" spans="2:14" ht="15.6" x14ac:dyDescent="0.3">
      <c r="B1190" s="32"/>
      <c r="C1190" s="32"/>
      <c r="M1190" s="25"/>
      <c r="N1190" s="25"/>
    </row>
    <row r="1191" spans="2:14" ht="15.6" x14ac:dyDescent="0.3">
      <c r="B1191" s="32"/>
      <c r="C1191" s="32"/>
      <c r="M1191" s="25"/>
      <c r="N1191" s="25"/>
    </row>
    <row r="1192" spans="2:14" ht="15.6" x14ac:dyDescent="0.3">
      <c r="B1192" s="32"/>
      <c r="C1192" s="32"/>
      <c r="M1192" s="25"/>
      <c r="N1192" s="25"/>
    </row>
    <row r="1193" spans="2:14" ht="15.6" x14ac:dyDescent="0.3">
      <c r="B1193" s="32"/>
      <c r="C1193" s="32"/>
      <c r="M1193" s="25"/>
      <c r="N1193" s="25"/>
    </row>
    <row r="1194" spans="2:14" ht="15.6" x14ac:dyDescent="0.3">
      <c r="B1194" s="32"/>
      <c r="C1194" s="32"/>
      <c r="M1194" s="25"/>
      <c r="N1194" s="25"/>
    </row>
    <row r="1195" spans="2:14" ht="15.6" x14ac:dyDescent="0.3">
      <c r="B1195" s="32"/>
      <c r="C1195" s="32"/>
      <c r="M1195" s="25"/>
      <c r="N1195" s="25"/>
    </row>
    <row r="1196" spans="2:14" ht="15.6" x14ac:dyDescent="0.3">
      <c r="B1196" s="32"/>
      <c r="C1196" s="32"/>
      <c r="M1196" s="25"/>
      <c r="N1196" s="25"/>
    </row>
    <row r="1197" spans="2:14" ht="15.6" x14ac:dyDescent="0.3">
      <c r="B1197" s="32"/>
      <c r="C1197" s="32"/>
      <c r="M1197" s="25"/>
      <c r="N1197" s="25"/>
    </row>
    <row r="1198" spans="2:14" ht="15.6" x14ac:dyDescent="0.3">
      <c r="B1198" s="32"/>
      <c r="C1198" s="32"/>
      <c r="M1198" s="25"/>
      <c r="N1198" s="25"/>
    </row>
    <row r="1199" spans="2:14" ht="15.6" x14ac:dyDescent="0.3">
      <c r="B1199" s="32"/>
      <c r="C1199" s="32"/>
      <c r="M1199" s="25"/>
      <c r="N1199" s="25"/>
    </row>
    <row r="1200" spans="2:14" ht="15.6" x14ac:dyDescent="0.3">
      <c r="B1200" s="32"/>
      <c r="C1200" s="32"/>
      <c r="M1200" s="25"/>
      <c r="N1200" s="25"/>
    </row>
    <row r="1201" spans="2:14" ht="15.6" x14ac:dyDescent="0.3">
      <c r="B1201" s="32"/>
      <c r="C1201" s="32"/>
      <c r="M1201" s="25"/>
      <c r="N1201" s="25"/>
    </row>
    <row r="1202" spans="2:14" ht="15.6" x14ac:dyDescent="0.3">
      <c r="B1202" s="32"/>
      <c r="C1202" s="32"/>
      <c r="M1202" s="25"/>
      <c r="N1202" s="25"/>
    </row>
    <row r="1203" spans="2:14" ht="15.6" x14ac:dyDescent="0.3">
      <c r="B1203" s="32"/>
      <c r="C1203" s="32"/>
      <c r="M1203" s="25"/>
      <c r="N1203" s="25"/>
    </row>
    <row r="1204" spans="2:14" ht="15.6" x14ac:dyDescent="0.3">
      <c r="B1204" s="32"/>
      <c r="C1204" s="32"/>
      <c r="M1204" s="25"/>
      <c r="N1204" s="25"/>
    </row>
    <row r="1205" spans="2:14" ht="15.6" x14ac:dyDescent="0.3">
      <c r="B1205" s="32"/>
      <c r="C1205" s="32"/>
      <c r="M1205" s="25"/>
      <c r="N1205" s="25"/>
    </row>
    <row r="1206" spans="2:14" ht="15.6" x14ac:dyDescent="0.3">
      <c r="B1206" s="32"/>
      <c r="C1206" s="32"/>
      <c r="M1206" s="25"/>
      <c r="N1206" s="25"/>
    </row>
    <row r="1207" spans="2:14" ht="15.6" x14ac:dyDescent="0.3">
      <c r="B1207" s="32"/>
      <c r="C1207" s="32"/>
      <c r="M1207" s="25"/>
      <c r="N1207" s="25"/>
    </row>
    <row r="1208" spans="2:14" ht="15.6" x14ac:dyDescent="0.3">
      <c r="B1208" s="32"/>
      <c r="C1208" s="32"/>
      <c r="M1208" s="25"/>
      <c r="N1208" s="25"/>
    </row>
    <row r="1209" spans="2:14" ht="15.6" x14ac:dyDescent="0.3">
      <c r="B1209" s="32"/>
      <c r="C1209" s="32"/>
      <c r="M1209" s="25"/>
      <c r="N1209" s="25"/>
    </row>
    <row r="1210" spans="2:14" ht="15.6" x14ac:dyDescent="0.3">
      <c r="B1210" s="32"/>
      <c r="C1210" s="32"/>
      <c r="M1210" s="25"/>
      <c r="N1210" s="25"/>
    </row>
    <row r="1211" spans="2:14" ht="15.6" x14ac:dyDescent="0.3">
      <c r="B1211" s="32"/>
      <c r="C1211" s="32"/>
      <c r="M1211" s="25"/>
      <c r="N1211" s="25"/>
    </row>
    <row r="1212" spans="2:14" ht="15.6" x14ac:dyDescent="0.3">
      <c r="B1212" s="32"/>
      <c r="C1212" s="32"/>
      <c r="M1212" s="25"/>
      <c r="N1212" s="25"/>
    </row>
    <row r="1213" spans="2:14" ht="15.6" x14ac:dyDescent="0.3">
      <c r="B1213" s="32"/>
      <c r="C1213" s="32"/>
      <c r="M1213" s="25"/>
      <c r="N1213" s="25"/>
    </row>
    <row r="1214" spans="2:14" ht="15.6" x14ac:dyDescent="0.3">
      <c r="B1214" s="32"/>
      <c r="C1214" s="32"/>
      <c r="M1214" s="25"/>
      <c r="N1214" s="25"/>
    </row>
    <row r="1215" spans="2:14" ht="15.6" x14ac:dyDescent="0.3">
      <c r="B1215" s="32"/>
      <c r="C1215" s="32"/>
      <c r="M1215" s="25"/>
      <c r="N1215" s="25"/>
    </row>
    <row r="1216" spans="2:14" ht="15.6" x14ac:dyDescent="0.3">
      <c r="B1216" s="32"/>
      <c r="C1216" s="32"/>
      <c r="M1216" s="25"/>
      <c r="N1216" s="25"/>
    </row>
    <row r="1217" spans="2:14" ht="15.6" x14ac:dyDescent="0.3">
      <c r="B1217" s="32"/>
      <c r="C1217" s="32"/>
      <c r="M1217" s="25"/>
      <c r="N1217" s="25"/>
    </row>
    <row r="1218" spans="2:14" ht="15.6" x14ac:dyDescent="0.3">
      <c r="B1218" s="32"/>
      <c r="C1218" s="32"/>
      <c r="M1218" s="25"/>
      <c r="N1218" s="25"/>
    </row>
    <row r="1219" spans="2:14" ht="15.6" x14ac:dyDescent="0.3">
      <c r="B1219" s="32"/>
      <c r="C1219" s="32"/>
      <c r="M1219" s="25"/>
      <c r="N1219" s="25"/>
    </row>
    <row r="1220" spans="2:14" ht="15.6" x14ac:dyDescent="0.3">
      <c r="B1220" s="32"/>
      <c r="C1220" s="32"/>
      <c r="M1220" s="25"/>
      <c r="N1220" s="25"/>
    </row>
    <row r="1221" spans="2:14" ht="15.6" x14ac:dyDescent="0.3">
      <c r="B1221" s="32"/>
      <c r="C1221" s="32"/>
      <c r="M1221" s="25"/>
      <c r="N1221" s="25"/>
    </row>
    <row r="1222" spans="2:14" ht="15.6" x14ac:dyDescent="0.3">
      <c r="B1222" s="32"/>
      <c r="C1222" s="32"/>
      <c r="M1222" s="25"/>
      <c r="N1222" s="25"/>
    </row>
    <row r="1223" spans="2:14" ht="15.6" x14ac:dyDescent="0.3">
      <c r="B1223" s="32"/>
      <c r="C1223" s="32"/>
      <c r="M1223" s="25"/>
      <c r="N1223" s="25"/>
    </row>
    <row r="1224" spans="2:14" ht="15.6" x14ac:dyDescent="0.3">
      <c r="B1224" s="32"/>
      <c r="C1224" s="32"/>
      <c r="M1224" s="25"/>
      <c r="N1224" s="25"/>
    </row>
    <row r="1225" spans="2:14" ht="15.6" x14ac:dyDescent="0.3">
      <c r="B1225" s="32"/>
      <c r="C1225" s="32"/>
      <c r="M1225" s="25"/>
      <c r="N1225" s="25"/>
    </row>
    <row r="1226" spans="2:14" ht="15.6" x14ac:dyDescent="0.3">
      <c r="B1226" s="32"/>
      <c r="C1226" s="32"/>
      <c r="M1226" s="25"/>
      <c r="N1226" s="25"/>
    </row>
    <row r="1227" spans="2:14" ht="15.6" x14ac:dyDescent="0.3">
      <c r="B1227" s="32"/>
      <c r="C1227" s="32"/>
      <c r="M1227" s="25"/>
      <c r="N1227" s="25"/>
    </row>
    <row r="1228" spans="2:14" ht="15.6" x14ac:dyDescent="0.3">
      <c r="B1228" s="32"/>
      <c r="C1228" s="32"/>
      <c r="M1228" s="25"/>
      <c r="N1228" s="25"/>
    </row>
    <row r="1229" spans="2:14" ht="15.6" x14ac:dyDescent="0.3">
      <c r="B1229" s="32"/>
      <c r="C1229" s="32"/>
      <c r="M1229" s="25"/>
      <c r="N1229" s="25"/>
    </row>
    <row r="1230" spans="2:14" ht="15.6" x14ac:dyDescent="0.3">
      <c r="B1230" s="32"/>
      <c r="C1230" s="32"/>
      <c r="M1230" s="25"/>
      <c r="N1230" s="25"/>
    </row>
    <row r="1231" spans="2:14" ht="15.6" x14ac:dyDescent="0.3">
      <c r="B1231" s="32"/>
      <c r="C1231" s="32"/>
      <c r="M1231" s="25"/>
      <c r="N1231" s="25"/>
    </row>
    <row r="1232" spans="2:14" ht="15.6" x14ac:dyDescent="0.3">
      <c r="B1232" s="32"/>
      <c r="C1232" s="32"/>
      <c r="M1232" s="25"/>
      <c r="N1232" s="25"/>
    </row>
    <row r="1233" spans="2:14" ht="15.6" x14ac:dyDescent="0.3">
      <c r="B1233" s="32"/>
      <c r="C1233" s="32"/>
      <c r="M1233" s="25"/>
      <c r="N1233" s="25"/>
    </row>
    <row r="1234" spans="2:14" ht="15.6" x14ac:dyDescent="0.3">
      <c r="B1234" s="32"/>
      <c r="C1234" s="32"/>
      <c r="M1234" s="25"/>
      <c r="N1234" s="25"/>
    </row>
    <row r="1235" spans="2:14" ht="15.6" x14ac:dyDescent="0.3">
      <c r="B1235" s="32"/>
      <c r="C1235" s="32"/>
      <c r="M1235" s="25"/>
      <c r="N1235" s="25"/>
    </row>
    <row r="1236" spans="2:14" ht="15.6" x14ac:dyDescent="0.3">
      <c r="B1236" s="32"/>
      <c r="C1236" s="32"/>
      <c r="M1236" s="25"/>
      <c r="N1236" s="25"/>
    </row>
    <row r="1237" spans="2:14" ht="15.6" x14ac:dyDescent="0.3">
      <c r="B1237" s="32"/>
      <c r="C1237" s="32"/>
      <c r="M1237" s="25"/>
      <c r="N1237" s="25"/>
    </row>
    <row r="1238" spans="2:14" ht="15.6" x14ac:dyDescent="0.3">
      <c r="B1238" s="32"/>
      <c r="C1238" s="32"/>
      <c r="M1238" s="25"/>
      <c r="N1238" s="25"/>
    </row>
    <row r="1239" spans="2:14" ht="15.6" x14ac:dyDescent="0.3">
      <c r="B1239" s="32"/>
      <c r="C1239" s="32"/>
      <c r="M1239" s="25"/>
      <c r="N1239" s="25"/>
    </row>
    <row r="1240" spans="2:14" ht="15.6" x14ac:dyDescent="0.3">
      <c r="B1240" s="32"/>
      <c r="C1240" s="32"/>
      <c r="M1240" s="25"/>
      <c r="N1240" s="25"/>
    </row>
    <row r="1241" spans="2:14" ht="15.6" x14ac:dyDescent="0.3">
      <c r="B1241" s="32"/>
      <c r="C1241" s="32"/>
      <c r="M1241" s="25"/>
      <c r="N1241" s="25"/>
    </row>
    <row r="1242" spans="2:14" ht="15.6" x14ac:dyDescent="0.3">
      <c r="B1242" s="32"/>
      <c r="C1242" s="32"/>
      <c r="M1242" s="25"/>
      <c r="N1242" s="25"/>
    </row>
    <row r="1243" spans="2:14" ht="15.6" x14ac:dyDescent="0.3">
      <c r="B1243" s="32"/>
      <c r="C1243" s="32"/>
      <c r="M1243" s="25"/>
      <c r="N1243" s="25"/>
    </row>
    <row r="1244" spans="2:14" ht="15.6" x14ac:dyDescent="0.3">
      <c r="B1244" s="32"/>
      <c r="C1244" s="32"/>
      <c r="M1244" s="25"/>
      <c r="N1244" s="25"/>
    </row>
    <row r="1245" spans="2:14" ht="15.6" x14ac:dyDescent="0.3">
      <c r="B1245" s="32"/>
      <c r="C1245" s="32"/>
      <c r="M1245" s="25"/>
      <c r="N1245" s="25"/>
    </row>
    <row r="1246" spans="2:14" ht="15.6" x14ac:dyDescent="0.3">
      <c r="B1246" s="32"/>
      <c r="C1246" s="32"/>
      <c r="M1246" s="25"/>
      <c r="N1246" s="25"/>
    </row>
    <row r="1247" spans="2:14" ht="15.6" x14ac:dyDescent="0.3">
      <c r="B1247" s="32"/>
      <c r="C1247" s="32"/>
      <c r="M1247" s="25"/>
      <c r="N1247" s="25"/>
    </row>
    <row r="1248" spans="2:14" ht="15.6" x14ac:dyDescent="0.3">
      <c r="B1248" s="32"/>
      <c r="C1248" s="32"/>
      <c r="M1248" s="25"/>
      <c r="N1248" s="25"/>
    </row>
    <row r="1249" spans="2:14" ht="15.6" x14ac:dyDescent="0.3">
      <c r="B1249" s="32"/>
      <c r="C1249" s="32"/>
      <c r="M1249" s="25"/>
      <c r="N1249" s="25"/>
    </row>
    <row r="1250" spans="2:14" ht="15.6" x14ac:dyDescent="0.3">
      <c r="B1250" s="32"/>
      <c r="C1250" s="32"/>
      <c r="M1250" s="25"/>
      <c r="N1250" s="25"/>
    </row>
    <row r="1251" spans="2:14" ht="15.6" x14ac:dyDescent="0.3">
      <c r="B1251" s="32"/>
      <c r="C1251" s="32"/>
      <c r="M1251" s="25"/>
      <c r="N1251" s="25"/>
    </row>
    <row r="1252" spans="2:14" ht="15.6" x14ac:dyDescent="0.3">
      <c r="B1252" s="32"/>
      <c r="C1252" s="32"/>
      <c r="M1252" s="25"/>
      <c r="N1252" s="25"/>
    </row>
    <row r="1253" spans="2:14" ht="15.6" x14ac:dyDescent="0.3">
      <c r="B1253" s="32"/>
      <c r="C1253" s="32"/>
      <c r="M1253" s="25"/>
      <c r="N1253" s="25"/>
    </row>
    <row r="1254" spans="2:14" ht="15.6" x14ac:dyDescent="0.3">
      <c r="B1254" s="32"/>
      <c r="C1254" s="32"/>
      <c r="M1254" s="25"/>
      <c r="N1254" s="25"/>
    </row>
    <row r="1255" spans="2:14" ht="15.6" x14ac:dyDescent="0.3">
      <c r="B1255" s="32"/>
      <c r="C1255" s="32"/>
      <c r="M1255" s="25"/>
      <c r="N1255" s="25"/>
    </row>
    <row r="1256" spans="2:14" ht="15.6" x14ac:dyDescent="0.3">
      <c r="B1256" s="32"/>
      <c r="C1256" s="32"/>
      <c r="M1256" s="25"/>
      <c r="N1256" s="25"/>
    </row>
    <row r="1257" spans="2:14" ht="15.6" x14ac:dyDescent="0.3">
      <c r="B1257" s="32"/>
      <c r="C1257" s="32"/>
      <c r="M1257" s="25"/>
      <c r="N1257" s="25"/>
    </row>
    <row r="1258" spans="2:14" ht="15.6" x14ac:dyDescent="0.3">
      <c r="B1258" s="32"/>
      <c r="C1258" s="32"/>
      <c r="M1258" s="25"/>
      <c r="N1258" s="25"/>
    </row>
    <row r="1259" spans="2:14" ht="15.6" x14ac:dyDescent="0.3">
      <c r="B1259" s="32"/>
      <c r="C1259" s="32"/>
      <c r="M1259" s="25"/>
      <c r="N1259" s="25"/>
    </row>
    <row r="1260" spans="2:14" ht="15.6" x14ac:dyDescent="0.3">
      <c r="B1260" s="32"/>
      <c r="C1260" s="32"/>
      <c r="M1260" s="25"/>
      <c r="N1260" s="25"/>
    </row>
    <row r="1261" spans="2:14" ht="15.6" x14ac:dyDescent="0.3">
      <c r="B1261" s="32"/>
      <c r="C1261" s="32"/>
      <c r="M1261" s="25"/>
      <c r="N1261" s="25"/>
    </row>
    <row r="1262" spans="2:14" ht="15.6" x14ac:dyDescent="0.3">
      <c r="B1262" s="32"/>
      <c r="C1262" s="32"/>
      <c r="M1262" s="25"/>
      <c r="N1262" s="25"/>
    </row>
    <row r="1263" spans="2:14" ht="15.6" x14ac:dyDescent="0.3">
      <c r="B1263" s="32"/>
      <c r="C1263" s="32"/>
      <c r="M1263" s="25"/>
      <c r="N1263" s="25"/>
    </row>
    <row r="1264" spans="2:14" ht="15.6" x14ac:dyDescent="0.3">
      <c r="B1264" s="32"/>
      <c r="C1264" s="32"/>
      <c r="M1264" s="25"/>
      <c r="N1264" s="25"/>
    </row>
    <row r="1265" spans="2:14" ht="15.6" x14ac:dyDescent="0.3">
      <c r="B1265" s="32"/>
      <c r="C1265" s="32"/>
      <c r="M1265" s="25"/>
      <c r="N1265" s="25"/>
    </row>
    <row r="1266" spans="2:14" ht="15.6" x14ac:dyDescent="0.3">
      <c r="B1266" s="32"/>
      <c r="C1266" s="32"/>
      <c r="M1266" s="25"/>
      <c r="N1266" s="25"/>
    </row>
    <row r="1267" spans="2:14" ht="15.6" x14ac:dyDescent="0.3">
      <c r="B1267" s="32"/>
      <c r="C1267" s="32"/>
      <c r="M1267" s="25"/>
      <c r="N1267" s="25"/>
    </row>
    <row r="1268" spans="2:14" ht="15.6" x14ac:dyDescent="0.3">
      <c r="B1268" s="32"/>
      <c r="C1268" s="32"/>
      <c r="M1268" s="25"/>
      <c r="N1268" s="25"/>
    </row>
    <row r="1269" spans="2:14" ht="15.6" x14ac:dyDescent="0.3">
      <c r="B1269" s="32"/>
      <c r="C1269" s="32"/>
      <c r="M1269" s="25"/>
      <c r="N1269" s="25"/>
    </row>
    <row r="1270" spans="2:14" ht="15.6" x14ac:dyDescent="0.3">
      <c r="B1270" s="32"/>
      <c r="C1270" s="32"/>
      <c r="M1270" s="25"/>
      <c r="N1270" s="25"/>
    </row>
    <row r="1271" spans="2:14" ht="15.6" x14ac:dyDescent="0.3">
      <c r="B1271" s="32"/>
      <c r="C1271" s="32"/>
      <c r="M1271" s="25"/>
      <c r="N1271" s="25"/>
    </row>
    <row r="1272" spans="2:14" ht="15.6" x14ac:dyDescent="0.3">
      <c r="B1272" s="32"/>
      <c r="C1272" s="32"/>
      <c r="M1272" s="25"/>
      <c r="N1272" s="25"/>
    </row>
    <row r="1273" spans="2:14" ht="15.6" x14ac:dyDescent="0.3">
      <c r="B1273" s="32"/>
      <c r="C1273" s="32"/>
      <c r="M1273" s="25"/>
      <c r="N1273" s="25"/>
    </row>
    <row r="1274" spans="2:14" ht="15.6" x14ac:dyDescent="0.3">
      <c r="B1274" s="32"/>
      <c r="C1274" s="32"/>
      <c r="M1274" s="25"/>
      <c r="N1274" s="25"/>
    </row>
    <row r="1275" spans="2:14" ht="15.6" x14ac:dyDescent="0.3">
      <c r="B1275" s="32"/>
      <c r="C1275" s="32"/>
      <c r="M1275" s="25"/>
      <c r="N1275" s="25"/>
    </row>
    <row r="1276" spans="2:14" ht="15.6" x14ac:dyDescent="0.3">
      <c r="B1276" s="32"/>
      <c r="C1276" s="32"/>
      <c r="M1276" s="25"/>
      <c r="N1276" s="25"/>
    </row>
    <row r="1277" spans="2:14" ht="15.6" x14ac:dyDescent="0.3">
      <c r="B1277" s="32"/>
      <c r="C1277" s="32"/>
      <c r="M1277" s="25"/>
      <c r="N1277" s="25"/>
    </row>
    <row r="1278" spans="2:14" ht="15.6" x14ac:dyDescent="0.3">
      <c r="B1278" s="32"/>
      <c r="C1278" s="32"/>
      <c r="M1278" s="25"/>
      <c r="N1278" s="25"/>
    </row>
    <row r="1279" spans="2:14" ht="15.6" x14ac:dyDescent="0.3">
      <c r="B1279" s="32"/>
      <c r="C1279" s="32"/>
      <c r="M1279" s="25"/>
      <c r="N1279" s="25"/>
    </row>
    <row r="1280" spans="2:14" ht="15.6" x14ac:dyDescent="0.3">
      <c r="B1280" s="32"/>
      <c r="C1280" s="32"/>
      <c r="M1280" s="25"/>
      <c r="N1280" s="25"/>
    </row>
    <row r="1281" spans="2:14" ht="15.6" x14ac:dyDescent="0.3">
      <c r="B1281" s="32"/>
      <c r="C1281" s="32"/>
      <c r="M1281" s="25"/>
      <c r="N1281" s="25"/>
    </row>
    <row r="1282" spans="2:14" ht="15.6" x14ac:dyDescent="0.3">
      <c r="B1282" s="32"/>
      <c r="C1282" s="32"/>
      <c r="M1282" s="25"/>
      <c r="N1282" s="25"/>
    </row>
    <row r="1283" spans="2:14" ht="15.6" x14ac:dyDescent="0.3">
      <c r="B1283" s="32"/>
      <c r="C1283" s="32"/>
      <c r="M1283" s="25"/>
      <c r="N1283" s="25"/>
    </row>
    <row r="1284" spans="2:14" ht="15.6" x14ac:dyDescent="0.3">
      <c r="B1284" s="32"/>
      <c r="C1284" s="32"/>
      <c r="M1284" s="25"/>
      <c r="N1284" s="25"/>
    </row>
    <row r="1285" spans="2:14" ht="15.6" x14ac:dyDescent="0.3">
      <c r="B1285" s="32"/>
      <c r="C1285" s="32"/>
      <c r="M1285" s="25"/>
      <c r="N1285" s="25"/>
    </row>
    <row r="1286" spans="2:14" ht="15.6" x14ac:dyDescent="0.3">
      <c r="B1286" s="32"/>
      <c r="C1286" s="32"/>
      <c r="M1286" s="25"/>
      <c r="N1286" s="25"/>
    </row>
    <row r="1287" spans="2:14" ht="15.6" x14ac:dyDescent="0.3">
      <c r="B1287" s="32"/>
      <c r="C1287" s="32"/>
      <c r="M1287" s="25"/>
      <c r="N1287" s="25"/>
    </row>
    <row r="1288" spans="2:14" ht="15.6" x14ac:dyDescent="0.3">
      <c r="B1288" s="32"/>
      <c r="C1288" s="32"/>
      <c r="M1288" s="25"/>
      <c r="N1288" s="25"/>
    </row>
    <row r="1289" spans="2:14" ht="15.6" x14ac:dyDescent="0.3">
      <c r="B1289" s="32"/>
      <c r="C1289" s="32"/>
      <c r="M1289" s="25"/>
      <c r="N1289" s="25"/>
    </row>
    <row r="1290" spans="2:14" ht="15.6" x14ac:dyDescent="0.3">
      <c r="B1290" s="32"/>
      <c r="C1290" s="32"/>
      <c r="M1290" s="25"/>
      <c r="N1290" s="25"/>
    </row>
    <row r="1291" spans="2:14" ht="15.6" x14ac:dyDescent="0.3">
      <c r="B1291" s="32"/>
      <c r="C1291" s="32"/>
      <c r="M1291" s="25"/>
      <c r="N1291" s="25"/>
    </row>
    <row r="1292" spans="2:14" ht="15.6" x14ac:dyDescent="0.3">
      <c r="B1292" s="32"/>
      <c r="C1292" s="32"/>
      <c r="M1292" s="25"/>
      <c r="N1292" s="25"/>
    </row>
    <row r="1293" spans="2:14" ht="15.6" x14ac:dyDescent="0.3">
      <c r="B1293" s="32"/>
      <c r="C1293" s="32"/>
      <c r="M1293" s="25"/>
      <c r="N1293" s="25"/>
    </row>
    <row r="1294" spans="2:14" ht="15.6" x14ac:dyDescent="0.3">
      <c r="B1294" s="32"/>
      <c r="C1294" s="32"/>
      <c r="M1294" s="25"/>
      <c r="N1294" s="25"/>
    </row>
    <row r="1295" spans="2:14" ht="15.6" x14ac:dyDescent="0.3">
      <c r="B1295" s="32"/>
      <c r="C1295" s="32"/>
      <c r="M1295" s="25"/>
      <c r="N1295" s="25"/>
    </row>
    <row r="1296" spans="2:14" ht="15.6" x14ac:dyDescent="0.3">
      <c r="B1296" s="32"/>
      <c r="C1296" s="32"/>
      <c r="M1296" s="25"/>
      <c r="N1296" s="25"/>
    </row>
    <row r="1297" spans="2:14" ht="15.6" x14ac:dyDescent="0.3">
      <c r="B1297" s="32"/>
      <c r="C1297" s="32"/>
      <c r="M1297" s="25"/>
      <c r="N1297" s="25"/>
    </row>
    <row r="1298" spans="2:14" ht="15.6" x14ac:dyDescent="0.3">
      <c r="B1298" s="32"/>
      <c r="C1298" s="32"/>
      <c r="M1298" s="25"/>
      <c r="N1298" s="25"/>
    </row>
    <row r="1299" spans="2:14" ht="15.6" x14ac:dyDescent="0.3">
      <c r="B1299" s="32"/>
      <c r="C1299" s="32"/>
      <c r="M1299" s="25"/>
      <c r="N1299" s="25"/>
    </row>
    <row r="1300" spans="2:14" ht="15.6" x14ac:dyDescent="0.3">
      <c r="B1300" s="32"/>
      <c r="C1300" s="32"/>
      <c r="M1300" s="25"/>
      <c r="N1300" s="25"/>
    </row>
    <row r="1301" spans="2:14" ht="15.6" x14ac:dyDescent="0.3">
      <c r="B1301" s="32"/>
      <c r="C1301" s="32"/>
      <c r="M1301" s="25"/>
      <c r="N1301" s="25"/>
    </row>
    <row r="1302" spans="2:14" ht="15.6" x14ac:dyDescent="0.3">
      <c r="B1302" s="32"/>
      <c r="C1302" s="32"/>
      <c r="M1302" s="25"/>
      <c r="N1302" s="25"/>
    </row>
    <row r="1303" spans="2:14" ht="15.6" x14ac:dyDescent="0.3">
      <c r="B1303" s="32"/>
      <c r="C1303" s="32"/>
      <c r="M1303" s="25"/>
      <c r="N1303" s="25"/>
    </row>
    <row r="1304" spans="2:14" ht="15.6" x14ac:dyDescent="0.3">
      <c r="B1304" s="32"/>
      <c r="C1304" s="32"/>
      <c r="M1304" s="25"/>
      <c r="N1304" s="25"/>
    </row>
    <row r="1305" spans="2:14" ht="15.6" x14ac:dyDescent="0.3">
      <c r="B1305" s="32"/>
      <c r="C1305" s="32"/>
      <c r="M1305" s="25"/>
      <c r="N1305" s="25"/>
    </row>
    <row r="1306" spans="2:14" ht="15.6" x14ac:dyDescent="0.3">
      <c r="B1306" s="32"/>
      <c r="C1306" s="32"/>
      <c r="M1306" s="25"/>
      <c r="N1306" s="25"/>
    </row>
    <row r="1307" spans="2:14" ht="15.6" x14ac:dyDescent="0.3">
      <c r="B1307" s="32"/>
      <c r="C1307" s="32"/>
      <c r="M1307" s="25"/>
      <c r="N1307" s="25"/>
    </row>
    <row r="1308" spans="2:14" ht="15.6" x14ac:dyDescent="0.3">
      <c r="B1308" s="32"/>
      <c r="C1308" s="32"/>
      <c r="M1308" s="25"/>
      <c r="N1308" s="25"/>
    </row>
    <row r="1309" spans="2:14" ht="15.6" x14ac:dyDescent="0.3">
      <c r="B1309" s="32"/>
      <c r="C1309" s="32"/>
      <c r="M1309" s="25"/>
      <c r="N1309" s="25"/>
    </row>
    <row r="1310" spans="2:14" ht="15.6" x14ac:dyDescent="0.3">
      <c r="B1310" s="32"/>
      <c r="C1310" s="32"/>
      <c r="M1310" s="25"/>
      <c r="N1310" s="25"/>
    </row>
    <row r="1311" spans="2:14" ht="15.6" x14ac:dyDescent="0.3">
      <c r="B1311" s="32"/>
      <c r="C1311" s="32"/>
      <c r="M1311" s="25"/>
      <c r="N1311" s="25"/>
    </row>
    <row r="1312" spans="2:14" ht="15.6" x14ac:dyDescent="0.3">
      <c r="B1312" s="32"/>
      <c r="C1312" s="32"/>
      <c r="M1312" s="25"/>
      <c r="N1312" s="25"/>
    </row>
    <row r="1313" spans="2:14" ht="15.6" x14ac:dyDescent="0.3">
      <c r="B1313" s="32"/>
      <c r="C1313" s="32"/>
      <c r="M1313" s="25"/>
      <c r="N1313" s="25"/>
    </row>
    <row r="1314" spans="2:14" ht="15.6" x14ac:dyDescent="0.3">
      <c r="B1314" s="32"/>
      <c r="C1314" s="32"/>
      <c r="M1314" s="25"/>
      <c r="N1314" s="25"/>
    </row>
    <row r="1315" spans="2:14" ht="15.6" x14ac:dyDescent="0.3">
      <c r="B1315" s="32"/>
      <c r="C1315" s="32"/>
      <c r="M1315" s="25"/>
      <c r="N1315" s="25"/>
    </row>
    <row r="1316" spans="2:14" ht="15.6" x14ac:dyDescent="0.3">
      <c r="B1316" s="32"/>
      <c r="C1316" s="32"/>
      <c r="M1316" s="25"/>
      <c r="N1316" s="25"/>
    </row>
    <row r="1317" spans="2:14" ht="15.6" x14ac:dyDescent="0.3">
      <c r="B1317" s="32"/>
      <c r="C1317" s="32"/>
      <c r="M1317" s="25"/>
      <c r="N1317" s="25"/>
    </row>
    <row r="1318" spans="2:14" ht="15.6" x14ac:dyDescent="0.3">
      <c r="B1318" s="32"/>
      <c r="C1318" s="32"/>
      <c r="M1318" s="25"/>
      <c r="N1318" s="25"/>
    </row>
    <row r="1319" spans="2:14" ht="15.6" x14ac:dyDescent="0.3">
      <c r="B1319" s="32"/>
      <c r="C1319" s="32"/>
      <c r="M1319" s="25"/>
      <c r="N1319" s="25"/>
    </row>
    <row r="1320" spans="2:14" ht="15.6" x14ac:dyDescent="0.3">
      <c r="B1320" s="32"/>
      <c r="C1320" s="32"/>
      <c r="M1320" s="25"/>
      <c r="N1320" s="25"/>
    </row>
    <row r="1321" spans="2:14" ht="15.6" x14ac:dyDescent="0.3">
      <c r="B1321" s="32"/>
      <c r="C1321" s="32"/>
      <c r="M1321" s="25"/>
      <c r="N1321" s="25"/>
    </row>
    <row r="1322" spans="2:14" ht="15.6" x14ac:dyDescent="0.3">
      <c r="B1322" s="32"/>
      <c r="C1322" s="32"/>
      <c r="M1322" s="25"/>
      <c r="N1322" s="25"/>
    </row>
    <row r="1323" spans="2:14" ht="15.6" x14ac:dyDescent="0.3">
      <c r="B1323" s="32"/>
      <c r="C1323" s="32"/>
      <c r="M1323" s="25"/>
      <c r="N1323" s="25"/>
    </row>
    <row r="1324" spans="2:14" ht="15.6" x14ac:dyDescent="0.3">
      <c r="B1324" s="32"/>
      <c r="C1324" s="32"/>
      <c r="M1324" s="25"/>
      <c r="N1324" s="25"/>
    </row>
    <row r="1325" spans="2:14" ht="15.6" x14ac:dyDescent="0.3">
      <c r="B1325" s="32"/>
      <c r="C1325" s="32"/>
      <c r="M1325" s="25"/>
      <c r="N1325" s="25"/>
    </row>
    <row r="1326" spans="2:14" ht="15.6" x14ac:dyDescent="0.3">
      <c r="B1326" s="32"/>
      <c r="C1326" s="32"/>
      <c r="M1326" s="25"/>
      <c r="N1326" s="25"/>
    </row>
    <row r="1327" spans="2:14" ht="15.6" x14ac:dyDescent="0.3">
      <c r="B1327" s="32"/>
      <c r="C1327" s="32"/>
      <c r="M1327" s="25"/>
      <c r="N1327" s="25"/>
    </row>
    <row r="1328" spans="2:14" ht="15.6" x14ac:dyDescent="0.3">
      <c r="B1328" s="32"/>
      <c r="C1328" s="32"/>
      <c r="M1328" s="25"/>
      <c r="N1328" s="25"/>
    </row>
    <row r="1329" spans="2:14" ht="15.6" x14ac:dyDescent="0.3">
      <c r="B1329" s="32"/>
      <c r="C1329" s="32"/>
      <c r="M1329" s="25"/>
      <c r="N1329" s="25"/>
    </row>
    <row r="1330" spans="2:14" ht="15.6" x14ac:dyDescent="0.3">
      <c r="B1330" s="32"/>
      <c r="C1330" s="32"/>
      <c r="M1330" s="25"/>
      <c r="N1330" s="25"/>
    </row>
    <row r="1331" spans="2:14" ht="15.6" x14ac:dyDescent="0.3">
      <c r="B1331" s="32"/>
      <c r="C1331" s="32"/>
      <c r="M1331" s="25"/>
      <c r="N1331" s="25"/>
    </row>
    <row r="1332" spans="2:14" ht="15.6" x14ac:dyDescent="0.3">
      <c r="B1332" s="32"/>
      <c r="C1332" s="32"/>
      <c r="M1332" s="25"/>
      <c r="N1332" s="25"/>
    </row>
    <row r="1333" spans="2:14" ht="15.6" x14ac:dyDescent="0.3">
      <c r="B1333" s="32"/>
      <c r="C1333" s="32"/>
      <c r="M1333" s="25"/>
      <c r="N1333" s="25"/>
    </row>
    <row r="1334" spans="2:14" ht="15.6" x14ac:dyDescent="0.3">
      <c r="B1334" s="32"/>
      <c r="C1334" s="32"/>
      <c r="M1334" s="25"/>
      <c r="N1334" s="25"/>
    </row>
    <row r="1335" spans="2:14" ht="15.6" x14ac:dyDescent="0.3">
      <c r="B1335" s="32"/>
      <c r="C1335" s="32"/>
      <c r="M1335" s="25"/>
      <c r="N1335" s="25"/>
    </row>
    <row r="1336" spans="2:14" ht="15.6" x14ac:dyDescent="0.3">
      <c r="B1336" s="32"/>
      <c r="C1336" s="32"/>
      <c r="M1336" s="25"/>
      <c r="N1336" s="25"/>
    </row>
    <row r="1337" spans="2:14" ht="15.6" x14ac:dyDescent="0.3">
      <c r="B1337" s="32"/>
      <c r="C1337" s="32"/>
      <c r="M1337" s="25"/>
      <c r="N1337" s="25"/>
    </row>
    <row r="1338" spans="2:14" ht="15.6" x14ac:dyDescent="0.3">
      <c r="B1338" s="32"/>
      <c r="C1338" s="32"/>
      <c r="M1338" s="25"/>
      <c r="N1338" s="25"/>
    </row>
    <row r="1339" spans="2:14" ht="15.6" x14ac:dyDescent="0.3">
      <c r="B1339" s="32"/>
      <c r="C1339" s="32"/>
      <c r="M1339" s="25"/>
      <c r="N1339" s="25"/>
    </row>
    <row r="1340" spans="2:14" ht="15.6" x14ac:dyDescent="0.3">
      <c r="B1340" s="32"/>
      <c r="C1340" s="32"/>
      <c r="M1340" s="25"/>
      <c r="N1340" s="25"/>
    </row>
    <row r="1341" spans="2:14" ht="15.6" x14ac:dyDescent="0.3">
      <c r="B1341" s="32"/>
      <c r="C1341" s="32"/>
      <c r="M1341" s="25"/>
      <c r="N1341" s="25"/>
    </row>
    <row r="1342" spans="2:14" ht="15.6" x14ac:dyDescent="0.3">
      <c r="B1342" s="32"/>
      <c r="C1342" s="32"/>
      <c r="M1342" s="25"/>
      <c r="N1342" s="25"/>
    </row>
    <row r="1343" spans="2:14" ht="15.6" x14ac:dyDescent="0.3">
      <c r="B1343" s="32"/>
      <c r="C1343" s="32"/>
      <c r="M1343" s="25"/>
      <c r="N1343" s="25"/>
    </row>
    <row r="1344" spans="2:14" ht="15.6" x14ac:dyDescent="0.3">
      <c r="B1344" s="32"/>
      <c r="C1344" s="32"/>
      <c r="M1344" s="25"/>
      <c r="N1344" s="25"/>
    </row>
    <row r="1345" spans="2:14" ht="15.6" x14ac:dyDescent="0.3">
      <c r="B1345" s="32"/>
      <c r="C1345" s="32"/>
      <c r="M1345" s="25"/>
      <c r="N1345" s="25"/>
    </row>
    <row r="1346" spans="2:14" ht="15.6" x14ac:dyDescent="0.3">
      <c r="B1346" s="32"/>
      <c r="C1346" s="32"/>
      <c r="M1346" s="25"/>
      <c r="N1346" s="25"/>
    </row>
    <row r="1347" spans="2:14" ht="15.6" x14ac:dyDescent="0.3">
      <c r="B1347" s="32"/>
      <c r="C1347" s="32"/>
      <c r="M1347" s="25"/>
      <c r="N1347" s="25"/>
    </row>
    <row r="1348" spans="2:14" ht="15.6" x14ac:dyDescent="0.3">
      <c r="B1348" s="32"/>
      <c r="C1348" s="32"/>
      <c r="M1348" s="25"/>
      <c r="N1348" s="25"/>
    </row>
    <row r="1349" spans="2:14" ht="15.6" x14ac:dyDescent="0.3">
      <c r="B1349" s="32"/>
      <c r="C1349" s="32"/>
      <c r="M1349" s="25"/>
      <c r="N1349" s="25"/>
    </row>
    <row r="1350" spans="2:14" ht="15.6" x14ac:dyDescent="0.3">
      <c r="B1350" s="32"/>
      <c r="C1350" s="32"/>
      <c r="M1350" s="25"/>
      <c r="N1350" s="25"/>
    </row>
    <row r="1351" spans="2:14" ht="15.6" x14ac:dyDescent="0.3">
      <c r="B1351" s="32"/>
      <c r="C1351" s="32"/>
      <c r="M1351" s="25"/>
      <c r="N1351" s="25"/>
    </row>
    <row r="1352" spans="2:14" ht="15.6" x14ac:dyDescent="0.3">
      <c r="B1352" s="32"/>
      <c r="C1352" s="32"/>
      <c r="M1352" s="25"/>
      <c r="N1352" s="25"/>
    </row>
    <row r="1353" spans="2:14" ht="15.6" x14ac:dyDescent="0.3">
      <c r="B1353" s="32"/>
      <c r="C1353" s="32"/>
      <c r="M1353" s="25"/>
      <c r="N1353" s="25"/>
    </row>
    <row r="1354" spans="2:14" ht="15.6" x14ac:dyDescent="0.3">
      <c r="B1354" s="32"/>
      <c r="C1354" s="32"/>
      <c r="M1354" s="25"/>
      <c r="N1354" s="25"/>
    </row>
    <row r="1355" spans="2:14" ht="15.6" x14ac:dyDescent="0.3">
      <c r="B1355" s="32"/>
      <c r="C1355" s="32"/>
      <c r="M1355" s="25"/>
      <c r="N1355" s="25"/>
    </row>
    <row r="1356" spans="2:14" ht="15.6" x14ac:dyDescent="0.3">
      <c r="B1356" s="32"/>
      <c r="C1356" s="32"/>
      <c r="M1356" s="25"/>
      <c r="N1356" s="25"/>
    </row>
    <row r="1357" spans="2:14" ht="15.6" x14ac:dyDescent="0.3">
      <c r="B1357" s="32"/>
      <c r="C1357" s="32"/>
      <c r="M1357" s="25"/>
      <c r="N1357" s="25"/>
    </row>
    <row r="1358" spans="2:14" ht="15.6" x14ac:dyDescent="0.3">
      <c r="B1358" s="32"/>
      <c r="C1358" s="32"/>
      <c r="M1358" s="25"/>
      <c r="N1358" s="25"/>
    </row>
    <row r="1359" spans="2:14" ht="15.6" x14ac:dyDescent="0.3">
      <c r="B1359" s="32"/>
      <c r="C1359" s="32"/>
      <c r="M1359" s="25"/>
      <c r="N1359" s="25"/>
    </row>
    <row r="1360" spans="2:14" ht="15.6" x14ac:dyDescent="0.3">
      <c r="B1360" s="32"/>
      <c r="C1360" s="32"/>
      <c r="M1360" s="25"/>
      <c r="N1360" s="25"/>
    </row>
    <row r="1361" spans="2:14" ht="15.6" x14ac:dyDescent="0.3">
      <c r="B1361" s="32"/>
      <c r="C1361" s="32"/>
      <c r="M1361" s="25"/>
      <c r="N1361" s="25"/>
    </row>
    <row r="1362" spans="2:14" ht="15.6" x14ac:dyDescent="0.3">
      <c r="B1362" s="32"/>
      <c r="C1362" s="32"/>
      <c r="M1362" s="25"/>
      <c r="N1362" s="25"/>
    </row>
    <row r="1363" spans="2:14" ht="15.6" x14ac:dyDescent="0.3">
      <c r="B1363" s="32"/>
      <c r="C1363" s="32"/>
      <c r="M1363" s="25"/>
      <c r="N1363" s="25"/>
    </row>
    <row r="1364" spans="2:14" ht="15.6" x14ac:dyDescent="0.3">
      <c r="B1364" s="32"/>
      <c r="C1364" s="32"/>
      <c r="M1364" s="25"/>
      <c r="N1364" s="25"/>
    </row>
    <row r="1365" spans="2:14" ht="15.6" x14ac:dyDescent="0.3">
      <c r="B1365" s="32"/>
      <c r="C1365" s="32"/>
      <c r="M1365" s="25"/>
      <c r="N1365" s="25"/>
    </row>
    <row r="1366" spans="2:14" ht="15.6" x14ac:dyDescent="0.3">
      <c r="B1366" s="32"/>
      <c r="C1366" s="32"/>
      <c r="M1366" s="25"/>
      <c r="N1366" s="25"/>
    </row>
    <row r="1367" spans="2:14" ht="15.6" x14ac:dyDescent="0.3">
      <c r="B1367" s="32"/>
      <c r="C1367" s="32"/>
      <c r="M1367" s="25"/>
      <c r="N1367" s="25"/>
    </row>
    <row r="1368" spans="2:14" ht="15.6" x14ac:dyDescent="0.3">
      <c r="B1368" s="32"/>
      <c r="C1368" s="32"/>
      <c r="M1368" s="25"/>
      <c r="N1368" s="25"/>
    </row>
    <row r="1369" spans="2:14" ht="15.6" x14ac:dyDescent="0.3">
      <c r="B1369" s="32"/>
      <c r="C1369" s="32"/>
      <c r="M1369" s="25"/>
      <c r="N1369" s="25"/>
    </row>
    <row r="1370" spans="2:14" ht="15.6" x14ac:dyDescent="0.3">
      <c r="B1370" s="32"/>
      <c r="C1370" s="32"/>
      <c r="M1370" s="25"/>
      <c r="N1370" s="25"/>
    </row>
    <row r="1371" spans="2:14" ht="15.6" x14ac:dyDescent="0.3">
      <c r="B1371" s="32"/>
      <c r="C1371" s="32"/>
      <c r="M1371" s="25"/>
      <c r="N1371" s="25"/>
    </row>
    <row r="1372" spans="2:14" ht="15.6" x14ac:dyDescent="0.3">
      <c r="B1372" s="32"/>
      <c r="C1372" s="32"/>
      <c r="M1372" s="25"/>
      <c r="N1372" s="25"/>
    </row>
    <row r="1373" spans="2:14" ht="15.6" x14ac:dyDescent="0.3">
      <c r="B1373" s="32"/>
      <c r="C1373" s="32"/>
      <c r="M1373" s="25"/>
      <c r="N1373" s="25"/>
    </row>
    <row r="1374" spans="2:14" ht="15.6" x14ac:dyDescent="0.3">
      <c r="B1374" s="32"/>
      <c r="C1374" s="32"/>
      <c r="M1374" s="25"/>
      <c r="N1374" s="25"/>
    </row>
    <row r="1375" spans="2:14" ht="15.6" x14ac:dyDescent="0.3">
      <c r="B1375" s="32"/>
      <c r="C1375" s="32"/>
      <c r="M1375" s="25"/>
      <c r="N1375" s="25"/>
    </row>
    <row r="1376" spans="2:14" ht="15.6" x14ac:dyDescent="0.3">
      <c r="B1376" s="32"/>
      <c r="C1376" s="32"/>
      <c r="M1376" s="25"/>
      <c r="N1376" s="25"/>
    </row>
    <row r="1377" spans="2:14" ht="15.6" x14ac:dyDescent="0.3">
      <c r="B1377" s="32"/>
      <c r="C1377" s="32"/>
      <c r="M1377" s="25"/>
      <c r="N1377" s="25"/>
    </row>
    <row r="1378" spans="2:14" ht="15.6" x14ac:dyDescent="0.3">
      <c r="B1378" s="32"/>
      <c r="C1378" s="32"/>
      <c r="M1378" s="25"/>
      <c r="N1378" s="25"/>
    </row>
    <row r="1379" spans="2:14" ht="15.6" x14ac:dyDescent="0.3">
      <c r="B1379" s="32"/>
      <c r="C1379" s="32"/>
      <c r="M1379" s="25"/>
      <c r="N1379" s="25"/>
    </row>
    <row r="1380" spans="2:14" ht="15.6" x14ac:dyDescent="0.3">
      <c r="B1380" s="32"/>
      <c r="C1380" s="32"/>
      <c r="M1380" s="25"/>
      <c r="N1380" s="25"/>
    </row>
    <row r="1381" spans="2:14" ht="15.6" x14ac:dyDescent="0.3">
      <c r="B1381" s="32"/>
      <c r="C1381" s="32"/>
      <c r="M1381" s="25"/>
      <c r="N1381" s="25"/>
    </row>
    <row r="1382" spans="2:14" ht="15.6" x14ac:dyDescent="0.3">
      <c r="B1382" s="32"/>
      <c r="C1382" s="32"/>
      <c r="M1382" s="25"/>
      <c r="N1382" s="25"/>
    </row>
    <row r="1383" spans="2:14" ht="15.6" x14ac:dyDescent="0.3">
      <c r="B1383" s="32"/>
      <c r="C1383" s="32"/>
      <c r="M1383" s="25"/>
      <c r="N1383" s="25"/>
    </row>
    <row r="1384" spans="2:14" ht="15.6" x14ac:dyDescent="0.3">
      <c r="B1384" s="32"/>
      <c r="C1384" s="32"/>
      <c r="M1384" s="25"/>
      <c r="N1384" s="25"/>
    </row>
    <row r="1385" spans="2:14" ht="15.6" x14ac:dyDescent="0.3">
      <c r="B1385" s="32"/>
      <c r="C1385" s="32"/>
      <c r="M1385" s="25"/>
      <c r="N1385" s="25"/>
    </row>
    <row r="1386" spans="2:14" ht="15.6" x14ac:dyDescent="0.3">
      <c r="B1386" s="32"/>
      <c r="C1386" s="32"/>
      <c r="M1386" s="25"/>
      <c r="N1386" s="25"/>
    </row>
    <row r="1387" spans="2:14" ht="15.6" x14ac:dyDescent="0.3">
      <c r="B1387" s="32"/>
      <c r="C1387" s="32"/>
      <c r="M1387" s="25"/>
      <c r="N1387" s="25"/>
    </row>
    <row r="1388" spans="2:14" ht="15.6" x14ac:dyDescent="0.3">
      <c r="B1388" s="32"/>
      <c r="C1388" s="32"/>
      <c r="M1388" s="25"/>
      <c r="N1388" s="25"/>
    </row>
    <row r="1389" spans="2:14" ht="15.6" x14ac:dyDescent="0.3">
      <c r="B1389" s="32"/>
      <c r="C1389" s="32"/>
      <c r="M1389" s="25"/>
      <c r="N1389" s="25"/>
    </row>
    <row r="1390" spans="2:14" ht="15.6" x14ac:dyDescent="0.3">
      <c r="B1390" s="32"/>
      <c r="C1390" s="32"/>
      <c r="M1390" s="25"/>
      <c r="N1390" s="25"/>
    </row>
    <row r="1391" spans="2:14" ht="15.6" x14ac:dyDescent="0.3">
      <c r="B1391" s="32"/>
      <c r="C1391" s="32"/>
      <c r="M1391" s="25"/>
      <c r="N1391" s="25"/>
    </row>
    <row r="1392" spans="2:14" ht="15.6" x14ac:dyDescent="0.3">
      <c r="B1392" s="32"/>
      <c r="C1392" s="32"/>
      <c r="M1392" s="25"/>
      <c r="N1392" s="25"/>
    </row>
    <row r="1393" spans="2:14" ht="15.6" x14ac:dyDescent="0.3">
      <c r="B1393" s="32"/>
      <c r="C1393" s="32"/>
      <c r="M1393" s="25"/>
      <c r="N1393" s="25"/>
    </row>
    <row r="1394" spans="2:14" ht="15.6" x14ac:dyDescent="0.3">
      <c r="B1394" s="32"/>
      <c r="C1394" s="32"/>
      <c r="M1394" s="25"/>
      <c r="N1394" s="25"/>
    </row>
    <row r="1395" spans="2:14" ht="15.6" x14ac:dyDescent="0.3">
      <c r="B1395" s="32"/>
      <c r="C1395" s="32"/>
      <c r="M1395" s="25"/>
      <c r="N1395" s="25"/>
    </row>
    <row r="1396" spans="2:14" ht="15.6" x14ac:dyDescent="0.3">
      <c r="B1396" s="32"/>
      <c r="C1396" s="32"/>
      <c r="M1396" s="25"/>
      <c r="N1396" s="25"/>
    </row>
    <row r="1397" spans="2:14" ht="15.6" x14ac:dyDescent="0.3">
      <c r="B1397" s="32"/>
      <c r="C1397" s="32"/>
      <c r="M1397" s="25"/>
      <c r="N1397" s="25"/>
    </row>
    <row r="1398" spans="2:14" ht="15.6" x14ac:dyDescent="0.3">
      <c r="B1398" s="32"/>
      <c r="C1398" s="32"/>
      <c r="M1398" s="25"/>
      <c r="N1398" s="25"/>
    </row>
    <row r="1399" spans="2:14" ht="15.6" x14ac:dyDescent="0.3">
      <c r="B1399" s="32"/>
      <c r="C1399" s="32"/>
      <c r="M1399" s="25"/>
      <c r="N1399" s="25"/>
    </row>
    <row r="1400" spans="2:14" ht="15.6" x14ac:dyDescent="0.3">
      <c r="B1400" s="32"/>
      <c r="C1400" s="32"/>
      <c r="M1400" s="25"/>
      <c r="N1400" s="25"/>
    </row>
    <row r="1401" spans="2:14" ht="15.6" x14ac:dyDescent="0.3">
      <c r="B1401" s="32"/>
      <c r="C1401" s="32"/>
      <c r="M1401" s="25"/>
      <c r="N1401" s="25"/>
    </row>
    <row r="1402" spans="2:14" ht="15.6" x14ac:dyDescent="0.3">
      <c r="B1402" s="32"/>
      <c r="C1402" s="32"/>
      <c r="M1402" s="25"/>
      <c r="N1402" s="25"/>
    </row>
    <row r="1403" spans="2:14" ht="15.6" x14ac:dyDescent="0.3">
      <c r="B1403" s="32"/>
      <c r="C1403" s="32"/>
      <c r="M1403" s="25"/>
      <c r="N1403" s="25"/>
    </row>
    <row r="1404" spans="2:14" ht="15.6" x14ac:dyDescent="0.3">
      <c r="B1404" s="32"/>
      <c r="C1404" s="32"/>
      <c r="M1404" s="25"/>
      <c r="N1404" s="25"/>
    </row>
    <row r="1405" spans="2:14" ht="15.6" x14ac:dyDescent="0.3">
      <c r="B1405" s="32"/>
      <c r="C1405" s="32"/>
      <c r="M1405" s="25"/>
      <c r="N1405" s="25"/>
    </row>
    <row r="1406" spans="2:14" ht="15.6" x14ac:dyDescent="0.3">
      <c r="B1406" s="32"/>
      <c r="C1406" s="32"/>
      <c r="M1406" s="25"/>
      <c r="N1406" s="25"/>
    </row>
    <row r="1407" spans="2:14" ht="15.6" x14ac:dyDescent="0.3">
      <c r="B1407" s="32"/>
      <c r="C1407" s="32"/>
      <c r="M1407" s="25"/>
      <c r="N1407" s="25"/>
    </row>
    <row r="1408" spans="2:14" ht="15.6" x14ac:dyDescent="0.3">
      <c r="B1408" s="32"/>
      <c r="C1408" s="32"/>
      <c r="M1408" s="25"/>
      <c r="N1408" s="25"/>
    </row>
    <row r="1409" spans="2:14" ht="15.6" x14ac:dyDescent="0.3">
      <c r="B1409" s="32"/>
      <c r="C1409" s="32"/>
      <c r="M1409" s="25"/>
      <c r="N1409" s="25"/>
    </row>
    <row r="1410" spans="2:14" ht="15.6" x14ac:dyDescent="0.3">
      <c r="B1410" s="32"/>
      <c r="C1410" s="32"/>
      <c r="M1410" s="25"/>
      <c r="N1410" s="25"/>
    </row>
    <row r="1411" spans="2:14" ht="15.6" x14ac:dyDescent="0.3">
      <c r="B1411" s="32"/>
      <c r="C1411" s="32"/>
      <c r="M1411" s="25"/>
      <c r="N1411" s="25"/>
    </row>
    <row r="1412" spans="2:14" ht="15.6" x14ac:dyDescent="0.3">
      <c r="B1412" s="32"/>
      <c r="C1412" s="32"/>
      <c r="M1412" s="25"/>
      <c r="N1412" s="25"/>
    </row>
    <row r="1413" spans="2:14" ht="15.6" x14ac:dyDescent="0.3">
      <c r="B1413" s="32"/>
      <c r="C1413" s="32"/>
      <c r="M1413" s="25"/>
      <c r="N1413" s="25"/>
    </row>
    <row r="1414" spans="2:14" ht="15.6" x14ac:dyDescent="0.3">
      <c r="B1414" s="32"/>
      <c r="C1414" s="32"/>
      <c r="M1414" s="25"/>
      <c r="N1414" s="25"/>
    </row>
    <row r="1415" spans="2:14" ht="15.6" x14ac:dyDescent="0.3">
      <c r="B1415" s="32"/>
      <c r="C1415" s="32"/>
      <c r="M1415" s="25"/>
      <c r="N1415" s="25"/>
    </row>
    <row r="1416" spans="2:14" ht="15.6" x14ac:dyDescent="0.3">
      <c r="B1416" s="32"/>
      <c r="C1416" s="32"/>
      <c r="M1416" s="25"/>
      <c r="N1416" s="25"/>
    </row>
    <row r="1417" spans="2:14" ht="15.6" x14ac:dyDescent="0.3">
      <c r="B1417" s="32"/>
      <c r="C1417" s="32"/>
      <c r="M1417" s="25"/>
      <c r="N1417" s="25"/>
    </row>
    <row r="1418" spans="2:14" ht="15.6" x14ac:dyDescent="0.3">
      <c r="B1418" s="32"/>
      <c r="C1418" s="32"/>
      <c r="M1418" s="25"/>
      <c r="N1418" s="25"/>
    </row>
    <row r="1419" spans="2:14" ht="15.6" x14ac:dyDescent="0.3">
      <c r="B1419" s="32"/>
      <c r="C1419" s="32"/>
      <c r="M1419" s="25"/>
      <c r="N1419" s="25"/>
    </row>
    <row r="1420" spans="2:14" ht="15.6" x14ac:dyDescent="0.3">
      <c r="B1420" s="32"/>
      <c r="C1420" s="32"/>
      <c r="M1420" s="25"/>
      <c r="N1420" s="25"/>
    </row>
    <row r="1421" spans="2:14" ht="15.6" x14ac:dyDescent="0.3">
      <c r="B1421" s="32"/>
      <c r="C1421" s="32"/>
      <c r="M1421" s="25"/>
      <c r="N1421" s="25"/>
    </row>
    <row r="1422" spans="2:14" ht="15.6" x14ac:dyDescent="0.3">
      <c r="B1422" s="32"/>
      <c r="C1422" s="32"/>
      <c r="M1422" s="25"/>
      <c r="N1422" s="25"/>
    </row>
    <row r="1423" spans="2:14" ht="15.6" x14ac:dyDescent="0.3">
      <c r="B1423" s="32"/>
      <c r="C1423" s="32"/>
      <c r="M1423" s="25"/>
      <c r="N1423" s="25"/>
    </row>
    <row r="1424" spans="2:14" ht="15.6" x14ac:dyDescent="0.3">
      <c r="B1424" s="32"/>
      <c r="C1424" s="32"/>
      <c r="M1424" s="25"/>
      <c r="N1424" s="25"/>
    </row>
    <row r="1425" spans="2:14" ht="15.6" x14ac:dyDescent="0.3">
      <c r="B1425" s="32"/>
      <c r="C1425" s="32"/>
      <c r="M1425" s="25"/>
      <c r="N1425" s="25"/>
    </row>
    <row r="1426" spans="2:14" ht="15.6" x14ac:dyDescent="0.3">
      <c r="B1426" s="32"/>
      <c r="C1426" s="32"/>
      <c r="M1426" s="25"/>
      <c r="N1426" s="25"/>
    </row>
    <row r="1427" spans="2:14" ht="15.6" x14ac:dyDescent="0.3">
      <c r="B1427" s="32"/>
      <c r="C1427" s="32"/>
      <c r="M1427" s="25"/>
      <c r="N1427" s="25"/>
    </row>
    <row r="1428" spans="2:14" ht="15.6" x14ac:dyDescent="0.3">
      <c r="B1428" s="32"/>
      <c r="C1428" s="32"/>
      <c r="M1428" s="25"/>
      <c r="N1428" s="25"/>
    </row>
    <row r="1429" spans="2:14" ht="15.6" x14ac:dyDescent="0.3">
      <c r="B1429" s="32"/>
      <c r="C1429" s="32"/>
      <c r="M1429" s="25"/>
      <c r="N1429" s="25"/>
    </row>
    <row r="1430" spans="2:14" ht="15.6" x14ac:dyDescent="0.3">
      <c r="B1430" s="32"/>
      <c r="C1430" s="32"/>
      <c r="M1430" s="25"/>
      <c r="N1430" s="25"/>
    </row>
    <row r="1431" spans="2:14" ht="15.6" x14ac:dyDescent="0.3">
      <c r="B1431" s="32"/>
      <c r="C1431" s="32"/>
      <c r="M1431" s="25"/>
      <c r="N1431" s="25"/>
    </row>
    <row r="1432" spans="2:14" ht="15.6" x14ac:dyDescent="0.3">
      <c r="B1432" s="32"/>
      <c r="C1432" s="32"/>
      <c r="M1432" s="25"/>
      <c r="N1432" s="25"/>
    </row>
    <row r="1433" spans="2:14" ht="15.6" x14ac:dyDescent="0.3">
      <c r="B1433" s="32"/>
      <c r="C1433" s="32"/>
      <c r="M1433" s="25"/>
      <c r="N1433" s="25"/>
    </row>
    <row r="1434" spans="2:14" ht="15.6" x14ac:dyDescent="0.3">
      <c r="B1434" s="32"/>
      <c r="C1434" s="32"/>
      <c r="M1434" s="25"/>
      <c r="N1434" s="25"/>
    </row>
    <row r="1435" spans="2:14" ht="15.6" x14ac:dyDescent="0.3">
      <c r="B1435" s="32"/>
      <c r="C1435" s="32"/>
      <c r="M1435" s="25"/>
      <c r="N1435" s="25"/>
    </row>
    <row r="1436" spans="2:14" ht="15.6" x14ac:dyDescent="0.3">
      <c r="B1436" s="32"/>
      <c r="C1436" s="32"/>
      <c r="M1436" s="25"/>
      <c r="N1436" s="25"/>
    </row>
    <row r="1437" spans="2:14" ht="15.6" x14ac:dyDescent="0.3">
      <c r="B1437" s="32"/>
      <c r="C1437" s="32"/>
      <c r="M1437" s="25"/>
      <c r="N1437" s="25"/>
    </row>
    <row r="1438" spans="2:14" ht="15.6" x14ac:dyDescent="0.3">
      <c r="B1438" s="32"/>
      <c r="C1438" s="32"/>
      <c r="M1438" s="25"/>
      <c r="N1438" s="25"/>
    </row>
    <row r="1439" spans="2:14" ht="15.6" x14ac:dyDescent="0.3">
      <c r="B1439" s="32"/>
      <c r="C1439" s="32"/>
      <c r="M1439" s="25"/>
      <c r="N1439" s="25"/>
    </row>
    <row r="1440" spans="2:14" ht="15.6" x14ac:dyDescent="0.3">
      <c r="B1440" s="32"/>
      <c r="C1440" s="32"/>
      <c r="M1440" s="25"/>
      <c r="N1440" s="25"/>
    </row>
    <row r="1441" spans="2:14" ht="15.6" x14ac:dyDescent="0.3">
      <c r="B1441" s="32"/>
      <c r="C1441" s="32"/>
      <c r="M1441" s="25"/>
      <c r="N1441" s="25"/>
    </row>
    <row r="1442" spans="2:14" ht="15.6" x14ac:dyDescent="0.3">
      <c r="B1442" s="32"/>
      <c r="C1442" s="32"/>
      <c r="M1442" s="25"/>
      <c r="N1442" s="25"/>
    </row>
    <row r="1443" spans="2:14" ht="15.6" x14ac:dyDescent="0.3">
      <c r="B1443" s="32"/>
      <c r="C1443" s="32"/>
      <c r="M1443" s="25"/>
      <c r="N1443" s="25"/>
    </row>
    <row r="1444" spans="2:14" ht="15.6" x14ac:dyDescent="0.3">
      <c r="B1444" s="32"/>
      <c r="C1444" s="32"/>
      <c r="M1444" s="25"/>
      <c r="N1444" s="25"/>
    </row>
    <row r="1445" spans="2:14" ht="15.6" x14ac:dyDescent="0.3">
      <c r="B1445" s="32"/>
      <c r="C1445" s="32"/>
      <c r="M1445" s="25"/>
      <c r="N1445" s="25"/>
    </row>
    <row r="1446" spans="2:14" ht="15.6" x14ac:dyDescent="0.3">
      <c r="B1446" s="32"/>
      <c r="C1446" s="32"/>
      <c r="M1446" s="25"/>
      <c r="N1446" s="25"/>
    </row>
    <row r="1447" spans="2:14" ht="15.6" x14ac:dyDescent="0.3">
      <c r="B1447" s="32"/>
      <c r="C1447" s="32"/>
      <c r="M1447" s="25"/>
      <c r="N1447" s="25"/>
    </row>
    <row r="1448" spans="2:14" ht="15.6" x14ac:dyDescent="0.3">
      <c r="B1448" s="32"/>
      <c r="C1448" s="32"/>
      <c r="M1448" s="25"/>
      <c r="N1448" s="25"/>
    </row>
    <row r="1449" spans="2:14" ht="15.6" x14ac:dyDescent="0.3">
      <c r="B1449" s="32"/>
      <c r="C1449" s="32"/>
      <c r="M1449" s="25"/>
      <c r="N1449" s="25"/>
    </row>
    <row r="1450" spans="2:14" ht="15.6" x14ac:dyDescent="0.3">
      <c r="B1450" s="32"/>
      <c r="C1450" s="32"/>
      <c r="M1450" s="25"/>
      <c r="N1450" s="25"/>
    </row>
    <row r="1451" spans="2:14" ht="15.6" x14ac:dyDescent="0.3">
      <c r="B1451" s="32"/>
      <c r="C1451" s="32"/>
      <c r="M1451" s="25"/>
      <c r="N1451" s="25"/>
    </row>
    <row r="1452" spans="2:14" ht="15.6" x14ac:dyDescent="0.3">
      <c r="B1452" s="32"/>
      <c r="C1452" s="32"/>
      <c r="M1452" s="25"/>
      <c r="N1452" s="25"/>
    </row>
    <row r="1453" spans="2:14" ht="15.6" x14ac:dyDescent="0.3">
      <c r="B1453" s="32"/>
      <c r="C1453" s="32"/>
      <c r="M1453" s="25"/>
      <c r="N1453" s="25"/>
    </row>
    <row r="1454" spans="2:14" ht="15.6" x14ac:dyDescent="0.3">
      <c r="B1454" s="32"/>
      <c r="C1454" s="32"/>
      <c r="M1454" s="25"/>
      <c r="N1454" s="25"/>
    </row>
    <row r="1455" spans="2:14" ht="15.6" x14ac:dyDescent="0.3">
      <c r="B1455" s="32"/>
      <c r="C1455" s="32"/>
      <c r="M1455" s="25"/>
      <c r="N1455" s="25"/>
    </row>
    <row r="1456" spans="2:14" ht="15.6" x14ac:dyDescent="0.3">
      <c r="B1456" s="32"/>
      <c r="C1456" s="32"/>
      <c r="M1456" s="25"/>
      <c r="N1456" s="25"/>
    </row>
    <row r="1457" spans="2:14" ht="15.6" x14ac:dyDescent="0.3">
      <c r="B1457" s="32"/>
      <c r="C1457" s="32"/>
      <c r="M1457" s="25"/>
      <c r="N1457" s="25"/>
    </row>
    <row r="1458" spans="2:14" ht="15.6" x14ac:dyDescent="0.3">
      <c r="B1458" s="32"/>
      <c r="C1458" s="32"/>
      <c r="M1458" s="25"/>
      <c r="N1458" s="25"/>
    </row>
    <row r="1459" spans="2:14" ht="15.6" x14ac:dyDescent="0.3">
      <c r="B1459" s="32"/>
      <c r="C1459" s="32"/>
      <c r="M1459" s="25"/>
      <c r="N1459" s="25"/>
    </row>
    <row r="1460" spans="2:14" ht="15.6" x14ac:dyDescent="0.3">
      <c r="B1460" s="32"/>
      <c r="C1460" s="32"/>
      <c r="M1460" s="25"/>
      <c r="N1460" s="25"/>
    </row>
    <row r="1461" spans="2:14" ht="15.6" x14ac:dyDescent="0.3">
      <c r="B1461" s="32"/>
      <c r="C1461" s="32"/>
      <c r="M1461" s="25"/>
      <c r="N1461" s="25"/>
    </row>
    <row r="1462" spans="2:14" ht="15.6" x14ac:dyDescent="0.3">
      <c r="B1462" s="32"/>
      <c r="C1462" s="32"/>
      <c r="M1462" s="25"/>
      <c r="N1462" s="25"/>
    </row>
    <row r="1463" spans="2:14" ht="15.6" x14ac:dyDescent="0.3">
      <c r="B1463" s="32"/>
      <c r="C1463" s="32"/>
      <c r="M1463" s="25"/>
      <c r="N1463" s="25"/>
    </row>
    <row r="1464" spans="2:14" ht="15.6" x14ac:dyDescent="0.3">
      <c r="B1464" s="32"/>
      <c r="C1464" s="32"/>
      <c r="M1464" s="25"/>
      <c r="N1464" s="25"/>
    </row>
    <row r="1465" spans="2:14" ht="15.6" x14ac:dyDescent="0.3">
      <c r="B1465" s="32"/>
      <c r="C1465" s="32"/>
      <c r="M1465" s="25"/>
      <c r="N1465" s="25"/>
    </row>
    <row r="1466" spans="2:14" ht="15.6" x14ac:dyDescent="0.3">
      <c r="B1466" s="32"/>
      <c r="C1466" s="32"/>
      <c r="M1466" s="25"/>
      <c r="N1466" s="25"/>
    </row>
    <row r="1467" spans="2:14" ht="15.6" x14ac:dyDescent="0.3">
      <c r="B1467" s="32"/>
      <c r="C1467" s="32"/>
      <c r="M1467" s="25"/>
      <c r="N1467" s="25"/>
    </row>
    <row r="1468" spans="2:14" ht="15.6" x14ac:dyDescent="0.3">
      <c r="B1468" s="32"/>
      <c r="C1468" s="32"/>
      <c r="M1468" s="25"/>
      <c r="N1468" s="25"/>
    </row>
    <row r="1469" spans="2:14" ht="15.6" x14ac:dyDescent="0.3">
      <c r="B1469" s="32"/>
      <c r="C1469" s="32"/>
      <c r="M1469" s="25"/>
      <c r="N1469" s="25"/>
    </row>
    <row r="1470" spans="2:14" ht="15.6" x14ac:dyDescent="0.3">
      <c r="B1470" s="32"/>
      <c r="C1470" s="32"/>
      <c r="M1470" s="25"/>
      <c r="N1470" s="25"/>
    </row>
    <row r="1471" spans="2:14" ht="15.6" x14ac:dyDescent="0.3">
      <c r="B1471" s="32"/>
      <c r="C1471" s="32"/>
      <c r="M1471" s="25"/>
      <c r="N1471" s="25"/>
    </row>
    <row r="1472" spans="2:14" ht="15.6" x14ac:dyDescent="0.3">
      <c r="B1472" s="32"/>
      <c r="C1472" s="32"/>
      <c r="M1472" s="25"/>
      <c r="N1472" s="25"/>
    </row>
    <row r="1473" spans="2:14" ht="15.6" x14ac:dyDescent="0.3">
      <c r="B1473" s="32"/>
      <c r="C1473" s="32"/>
      <c r="M1473" s="25"/>
      <c r="N1473" s="25"/>
    </row>
    <row r="1474" spans="2:14" ht="15.6" x14ac:dyDescent="0.3">
      <c r="B1474" s="32"/>
      <c r="C1474" s="32"/>
      <c r="M1474" s="25"/>
      <c r="N1474" s="25"/>
    </row>
    <row r="1475" spans="2:14" ht="15.6" x14ac:dyDescent="0.3">
      <c r="B1475" s="32"/>
      <c r="C1475" s="32"/>
      <c r="M1475" s="25"/>
      <c r="N1475" s="25"/>
    </row>
    <row r="1476" spans="2:14" ht="15.6" x14ac:dyDescent="0.3">
      <c r="B1476" s="32"/>
      <c r="C1476" s="32"/>
      <c r="M1476" s="25"/>
      <c r="N1476" s="25"/>
    </row>
    <row r="1477" spans="2:14" ht="15.6" x14ac:dyDescent="0.3">
      <c r="B1477" s="32"/>
      <c r="C1477" s="32"/>
      <c r="M1477" s="25"/>
      <c r="N1477" s="25"/>
    </row>
    <row r="1478" spans="2:14" ht="15.6" x14ac:dyDescent="0.3">
      <c r="B1478" s="32"/>
      <c r="C1478" s="32"/>
      <c r="M1478" s="25"/>
      <c r="N1478" s="25"/>
    </row>
    <row r="1479" spans="2:14" ht="15.6" x14ac:dyDescent="0.3">
      <c r="B1479" s="32"/>
      <c r="C1479" s="32"/>
      <c r="M1479" s="25"/>
      <c r="N1479" s="25"/>
    </row>
    <row r="1480" spans="2:14" ht="15.6" x14ac:dyDescent="0.3">
      <c r="B1480" s="32"/>
      <c r="C1480" s="32"/>
      <c r="M1480" s="25"/>
      <c r="N1480" s="25"/>
    </row>
    <row r="1481" spans="2:14" ht="15.6" x14ac:dyDescent="0.3">
      <c r="B1481" s="32"/>
      <c r="C1481" s="32"/>
      <c r="M1481" s="25"/>
      <c r="N1481" s="25"/>
    </row>
    <row r="1482" spans="2:14" ht="15.6" x14ac:dyDescent="0.3">
      <c r="B1482" s="32"/>
      <c r="C1482" s="32"/>
      <c r="M1482" s="25"/>
      <c r="N1482" s="25"/>
    </row>
    <row r="1483" spans="2:14" ht="15.6" x14ac:dyDescent="0.3">
      <c r="B1483" s="32"/>
      <c r="C1483" s="32"/>
      <c r="M1483" s="25"/>
      <c r="N1483" s="25"/>
    </row>
    <row r="1484" spans="2:14" ht="15.6" x14ac:dyDescent="0.3">
      <c r="B1484" s="32"/>
      <c r="C1484" s="32"/>
      <c r="M1484" s="25"/>
      <c r="N1484" s="25"/>
    </row>
    <row r="1485" spans="2:14" ht="15.6" x14ac:dyDescent="0.3">
      <c r="B1485" s="32"/>
      <c r="C1485" s="32"/>
      <c r="M1485" s="25"/>
      <c r="N1485" s="25"/>
    </row>
    <row r="1486" spans="2:14" ht="15.6" x14ac:dyDescent="0.3">
      <c r="B1486" s="32"/>
      <c r="C1486" s="32"/>
      <c r="M1486" s="25"/>
      <c r="N1486" s="25"/>
    </row>
    <row r="1487" spans="2:14" ht="15.6" x14ac:dyDescent="0.3">
      <c r="B1487" s="32"/>
      <c r="C1487" s="32"/>
      <c r="M1487" s="25"/>
      <c r="N1487" s="25"/>
    </row>
    <row r="1488" spans="2:14" ht="15.6" x14ac:dyDescent="0.3">
      <c r="B1488" s="32"/>
      <c r="C1488" s="32"/>
      <c r="M1488" s="25"/>
      <c r="N1488" s="25"/>
    </row>
    <row r="1489" spans="2:14" ht="15.6" x14ac:dyDescent="0.3">
      <c r="B1489" s="32"/>
      <c r="C1489" s="32"/>
      <c r="M1489" s="25"/>
      <c r="N1489" s="25"/>
    </row>
    <row r="1490" spans="2:14" ht="15.6" x14ac:dyDescent="0.3">
      <c r="B1490" s="32"/>
      <c r="C1490" s="32"/>
      <c r="M1490" s="25"/>
      <c r="N1490" s="25"/>
    </row>
    <row r="1491" spans="2:14" ht="15.6" x14ac:dyDescent="0.3">
      <c r="B1491" s="32"/>
      <c r="C1491" s="32"/>
      <c r="M1491" s="25"/>
      <c r="N1491" s="25"/>
    </row>
    <row r="1492" spans="2:14" ht="15.6" x14ac:dyDescent="0.3">
      <c r="B1492" s="32"/>
      <c r="C1492" s="32"/>
      <c r="M1492" s="25"/>
      <c r="N1492" s="25"/>
    </row>
    <row r="1493" spans="2:14" ht="15.6" x14ac:dyDescent="0.3">
      <c r="B1493" s="32"/>
      <c r="C1493" s="32"/>
      <c r="M1493" s="25"/>
      <c r="N1493" s="25"/>
    </row>
    <row r="1494" spans="2:14" ht="15.6" x14ac:dyDescent="0.3">
      <c r="B1494" s="32"/>
      <c r="C1494" s="32"/>
      <c r="M1494" s="25"/>
      <c r="N1494" s="25"/>
    </row>
    <row r="1495" spans="2:14" ht="15.6" x14ac:dyDescent="0.3">
      <c r="B1495" s="32"/>
      <c r="C1495" s="32"/>
      <c r="M1495" s="25"/>
      <c r="N1495" s="25"/>
    </row>
    <row r="1496" spans="2:14" ht="15.6" x14ac:dyDescent="0.3">
      <c r="B1496" s="32"/>
      <c r="C1496" s="32"/>
      <c r="M1496" s="25"/>
      <c r="N1496" s="25"/>
    </row>
    <row r="1497" spans="2:14" ht="15.6" x14ac:dyDescent="0.3">
      <c r="B1497" s="32"/>
      <c r="C1497" s="32"/>
      <c r="M1497" s="25"/>
      <c r="N1497" s="25"/>
    </row>
    <row r="1498" spans="2:14" ht="15.6" x14ac:dyDescent="0.3">
      <c r="B1498" s="32"/>
      <c r="C1498" s="32"/>
      <c r="M1498" s="25"/>
      <c r="N1498" s="25"/>
    </row>
    <row r="1499" spans="2:14" ht="15.6" x14ac:dyDescent="0.3">
      <c r="B1499" s="32"/>
      <c r="C1499" s="32"/>
      <c r="M1499" s="25"/>
      <c r="N1499" s="25"/>
    </row>
    <row r="1500" spans="2:14" ht="15.6" x14ac:dyDescent="0.3">
      <c r="B1500" s="32"/>
      <c r="C1500" s="32"/>
      <c r="M1500" s="25"/>
      <c r="N1500" s="25"/>
    </row>
    <row r="1501" spans="2:14" ht="15.6" x14ac:dyDescent="0.3">
      <c r="B1501" s="32"/>
      <c r="C1501" s="32"/>
      <c r="M1501" s="25"/>
      <c r="N1501" s="25"/>
    </row>
    <row r="1502" spans="2:14" ht="15.6" x14ac:dyDescent="0.3">
      <c r="B1502" s="32"/>
      <c r="C1502" s="32"/>
      <c r="M1502" s="25"/>
      <c r="N1502" s="25"/>
    </row>
    <row r="1503" spans="2:14" ht="15.6" x14ac:dyDescent="0.3">
      <c r="B1503" s="32"/>
      <c r="C1503" s="32"/>
      <c r="M1503" s="25"/>
      <c r="N1503" s="25"/>
    </row>
    <row r="1504" spans="2:14" ht="15.6" x14ac:dyDescent="0.3">
      <c r="B1504" s="32"/>
      <c r="C1504" s="32"/>
      <c r="M1504" s="25"/>
      <c r="N1504" s="25"/>
    </row>
    <row r="1505" spans="2:14" ht="15.6" x14ac:dyDescent="0.3">
      <c r="B1505" s="32"/>
      <c r="C1505" s="32"/>
      <c r="M1505" s="25"/>
      <c r="N1505" s="25"/>
    </row>
    <row r="1506" spans="2:14" ht="15.6" x14ac:dyDescent="0.3">
      <c r="B1506" s="32"/>
      <c r="C1506" s="32"/>
      <c r="M1506" s="25"/>
      <c r="N1506" s="25"/>
    </row>
    <row r="1507" spans="2:14" ht="15.6" x14ac:dyDescent="0.3">
      <c r="B1507" s="32"/>
      <c r="C1507" s="32"/>
      <c r="M1507" s="25"/>
      <c r="N1507" s="25"/>
    </row>
    <row r="1508" spans="2:14" ht="15.6" x14ac:dyDescent="0.3">
      <c r="B1508" s="32"/>
      <c r="C1508" s="32"/>
      <c r="M1508" s="25"/>
      <c r="N1508" s="25"/>
    </row>
    <row r="1509" spans="2:14" ht="15.6" x14ac:dyDescent="0.3">
      <c r="B1509" s="32"/>
      <c r="C1509" s="32"/>
      <c r="M1509" s="25"/>
      <c r="N1509" s="25"/>
    </row>
    <row r="1510" spans="2:14" ht="15.6" x14ac:dyDescent="0.3">
      <c r="B1510" s="32"/>
      <c r="C1510" s="32"/>
      <c r="M1510" s="25"/>
      <c r="N1510" s="25"/>
    </row>
    <row r="1511" spans="2:14" ht="15.6" x14ac:dyDescent="0.3">
      <c r="B1511" s="32"/>
      <c r="C1511" s="32"/>
      <c r="M1511" s="25"/>
      <c r="N1511" s="25"/>
    </row>
    <row r="1512" spans="2:14" ht="15.6" x14ac:dyDescent="0.3">
      <c r="B1512" s="32"/>
      <c r="C1512" s="32"/>
      <c r="M1512" s="25"/>
      <c r="N1512" s="25"/>
    </row>
    <row r="1513" spans="2:14" ht="15.6" x14ac:dyDescent="0.3">
      <c r="B1513" s="32"/>
      <c r="C1513" s="32"/>
      <c r="M1513" s="25"/>
      <c r="N1513" s="25"/>
    </row>
    <row r="1514" spans="2:14" ht="15.6" x14ac:dyDescent="0.3">
      <c r="B1514" s="32"/>
      <c r="C1514" s="32"/>
      <c r="M1514" s="25"/>
      <c r="N1514" s="25"/>
    </row>
    <row r="1515" spans="2:14" ht="15.6" x14ac:dyDescent="0.3">
      <c r="B1515" s="32"/>
      <c r="C1515" s="32"/>
      <c r="M1515" s="25"/>
      <c r="N1515" s="25"/>
    </row>
    <row r="1516" spans="2:14" ht="15.6" x14ac:dyDescent="0.3">
      <c r="B1516" s="32"/>
      <c r="C1516" s="32"/>
      <c r="M1516" s="25"/>
      <c r="N1516" s="25"/>
    </row>
    <row r="1517" spans="2:14" ht="15.6" x14ac:dyDescent="0.3">
      <c r="B1517" s="32"/>
      <c r="C1517" s="32"/>
      <c r="M1517" s="25"/>
      <c r="N1517" s="25"/>
    </row>
    <row r="1518" spans="2:14" ht="15.6" x14ac:dyDescent="0.3">
      <c r="B1518" s="32"/>
      <c r="C1518" s="32"/>
      <c r="M1518" s="25"/>
      <c r="N1518" s="25"/>
    </row>
    <row r="1519" spans="2:14" ht="15.6" x14ac:dyDescent="0.3">
      <c r="B1519" s="32"/>
      <c r="C1519" s="32"/>
      <c r="M1519" s="25"/>
      <c r="N1519" s="25"/>
    </row>
    <row r="1520" spans="2:14" ht="15.6" x14ac:dyDescent="0.3">
      <c r="B1520" s="32"/>
      <c r="C1520" s="32"/>
      <c r="M1520" s="25"/>
      <c r="N1520" s="25"/>
    </row>
    <row r="1521" spans="2:14" ht="15.6" x14ac:dyDescent="0.3">
      <c r="B1521" s="32"/>
      <c r="C1521" s="32"/>
      <c r="M1521" s="25"/>
      <c r="N1521" s="25"/>
    </row>
    <row r="1522" spans="2:14" ht="15.6" x14ac:dyDescent="0.3">
      <c r="B1522" s="32"/>
      <c r="C1522" s="32"/>
      <c r="M1522" s="25"/>
      <c r="N1522" s="25"/>
    </row>
    <row r="1523" spans="2:14" ht="15.6" x14ac:dyDescent="0.3">
      <c r="B1523" s="32"/>
      <c r="C1523" s="32"/>
      <c r="M1523" s="25"/>
      <c r="N1523" s="25"/>
    </row>
    <row r="1524" spans="2:14" ht="15.6" x14ac:dyDescent="0.3">
      <c r="B1524" s="32"/>
      <c r="C1524" s="32"/>
      <c r="M1524" s="25"/>
      <c r="N1524" s="25"/>
    </row>
    <row r="1525" spans="2:14" ht="15.6" x14ac:dyDescent="0.3">
      <c r="B1525" s="32"/>
      <c r="C1525" s="32"/>
      <c r="M1525" s="25"/>
      <c r="N1525" s="25"/>
    </row>
    <row r="1526" spans="2:14" ht="15.6" x14ac:dyDescent="0.3">
      <c r="B1526" s="32"/>
      <c r="C1526" s="32"/>
      <c r="M1526" s="25"/>
      <c r="N1526" s="25"/>
    </row>
    <row r="1527" spans="2:14" ht="15.6" x14ac:dyDescent="0.3">
      <c r="B1527" s="32"/>
      <c r="C1527" s="32"/>
      <c r="M1527" s="25"/>
      <c r="N1527" s="25"/>
    </row>
    <row r="1528" spans="2:14" ht="15.6" x14ac:dyDescent="0.3">
      <c r="B1528" s="32"/>
      <c r="C1528" s="32"/>
      <c r="M1528" s="25"/>
      <c r="N1528" s="25"/>
    </row>
    <row r="1529" spans="2:14" ht="15.6" x14ac:dyDescent="0.3">
      <c r="B1529" s="32"/>
      <c r="C1529" s="32"/>
      <c r="M1529" s="25"/>
      <c r="N1529" s="25"/>
    </row>
    <row r="1530" spans="2:14" ht="15.6" x14ac:dyDescent="0.3">
      <c r="B1530" s="32"/>
      <c r="C1530" s="32"/>
      <c r="M1530" s="25"/>
      <c r="N1530" s="25"/>
    </row>
    <row r="1531" spans="2:14" ht="15.6" x14ac:dyDescent="0.3">
      <c r="B1531" s="32"/>
      <c r="C1531" s="32"/>
      <c r="M1531" s="25"/>
      <c r="N1531" s="25"/>
    </row>
    <row r="1532" spans="2:14" ht="15.6" x14ac:dyDescent="0.3">
      <c r="B1532" s="32"/>
      <c r="C1532" s="32"/>
      <c r="M1532" s="25"/>
      <c r="N1532" s="25"/>
    </row>
    <row r="1533" spans="2:14" ht="15.6" x14ac:dyDescent="0.3">
      <c r="B1533" s="32"/>
      <c r="C1533" s="32"/>
      <c r="M1533" s="25"/>
      <c r="N1533" s="25"/>
    </row>
    <row r="1534" spans="2:14" ht="15.6" x14ac:dyDescent="0.3">
      <c r="B1534" s="32"/>
      <c r="C1534" s="32"/>
      <c r="M1534" s="25"/>
      <c r="N1534" s="25"/>
    </row>
    <row r="1535" spans="2:14" ht="15.6" x14ac:dyDescent="0.3">
      <c r="B1535" s="32"/>
      <c r="C1535" s="32"/>
      <c r="M1535" s="25"/>
      <c r="N1535" s="25"/>
    </row>
    <row r="1536" spans="2:14" ht="15.6" x14ac:dyDescent="0.3">
      <c r="B1536" s="32"/>
      <c r="C1536" s="32"/>
      <c r="M1536" s="25"/>
      <c r="N1536" s="25"/>
    </row>
    <row r="1537" spans="2:14" ht="15.6" x14ac:dyDescent="0.3">
      <c r="B1537" s="32"/>
      <c r="C1537" s="32"/>
      <c r="M1537" s="25"/>
      <c r="N1537" s="25"/>
    </row>
    <row r="1538" spans="2:14" ht="15.6" x14ac:dyDescent="0.3">
      <c r="B1538" s="32"/>
      <c r="C1538" s="32"/>
      <c r="M1538" s="25"/>
      <c r="N1538" s="25"/>
    </row>
    <row r="1539" spans="2:14" ht="15.6" x14ac:dyDescent="0.3">
      <c r="B1539" s="32"/>
      <c r="C1539" s="32"/>
      <c r="M1539" s="25"/>
      <c r="N1539" s="25"/>
    </row>
    <row r="1540" spans="2:14" ht="15.6" x14ac:dyDescent="0.3">
      <c r="B1540" s="32"/>
      <c r="C1540" s="32"/>
      <c r="M1540" s="25"/>
      <c r="N1540" s="25"/>
    </row>
    <row r="1541" spans="2:14" ht="15.6" x14ac:dyDescent="0.3">
      <c r="B1541" s="32"/>
      <c r="C1541" s="32"/>
      <c r="M1541" s="25"/>
      <c r="N1541" s="25"/>
    </row>
    <row r="1542" spans="2:14" ht="15.6" x14ac:dyDescent="0.3">
      <c r="B1542" s="32"/>
      <c r="C1542" s="32"/>
      <c r="M1542" s="25"/>
      <c r="N1542" s="25"/>
    </row>
    <row r="1543" spans="2:14" ht="15.6" x14ac:dyDescent="0.3">
      <c r="B1543" s="32"/>
      <c r="C1543" s="32"/>
      <c r="M1543" s="25"/>
      <c r="N1543" s="25"/>
    </row>
    <row r="1544" spans="2:14" ht="15.6" x14ac:dyDescent="0.3">
      <c r="B1544" s="32"/>
      <c r="C1544" s="32"/>
      <c r="M1544" s="25"/>
      <c r="N1544" s="25"/>
    </row>
    <row r="1545" spans="2:14" ht="15.6" x14ac:dyDescent="0.3">
      <c r="B1545" s="32"/>
      <c r="C1545" s="32"/>
      <c r="M1545" s="25"/>
      <c r="N1545" s="25"/>
    </row>
    <row r="1546" spans="2:14" ht="15.6" x14ac:dyDescent="0.3">
      <c r="B1546" s="32"/>
      <c r="C1546" s="32"/>
      <c r="M1546" s="25"/>
      <c r="N1546" s="25"/>
    </row>
    <row r="1547" spans="2:14" ht="15.6" x14ac:dyDescent="0.3">
      <c r="B1547" s="32"/>
      <c r="C1547" s="32"/>
      <c r="M1547" s="25"/>
      <c r="N1547" s="25"/>
    </row>
    <row r="1548" spans="2:14" ht="15.6" x14ac:dyDescent="0.3">
      <c r="B1548" s="32"/>
      <c r="C1548" s="32"/>
      <c r="M1548" s="25"/>
      <c r="N1548" s="25"/>
    </row>
    <row r="1549" spans="2:14" ht="15.6" x14ac:dyDescent="0.3">
      <c r="B1549" s="32"/>
      <c r="C1549" s="32"/>
      <c r="M1549" s="25"/>
      <c r="N1549" s="25"/>
    </row>
    <row r="1550" spans="2:14" ht="15.6" x14ac:dyDescent="0.3">
      <c r="B1550" s="32"/>
      <c r="C1550" s="32"/>
      <c r="M1550" s="25"/>
      <c r="N1550" s="25"/>
    </row>
    <row r="1551" spans="2:14" ht="15.6" x14ac:dyDescent="0.3">
      <c r="B1551" s="32"/>
      <c r="C1551" s="32"/>
      <c r="M1551" s="25"/>
      <c r="N1551" s="25"/>
    </row>
    <row r="1552" spans="2:14" ht="15.6" x14ac:dyDescent="0.3">
      <c r="B1552" s="32"/>
      <c r="C1552" s="32"/>
      <c r="M1552" s="25"/>
      <c r="N1552" s="25"/>
    </row>
    <row r="1553" spans="2:14" ht="15.6" x14ac:dyDescent="0.3">
      <c r="B1553" s="32"/>
      <c r="C1553" s="32"/>
      <c r="M1553" s="25"/>
      <c r="N1553" s="25"/>
    </row>
    <row r="1554" spans="2:14" ht="15.6" x14ac:dyDescent="0.3">
      <c r="B1554" s="32"/>
      <c r="C1554" s="32"/>
      <c r="M1554" s="25"/>
      <c r="N1554" s="25"/>
    </row>
    <row r="1555" spans="2:14" ht="15.6" x14ac:dyDescent="0.3">
      <c r="B1555" s="32"/>
      <c r="C1555" s="32"/>
      <c r="M1555" s="25"/>
      <c r="N1555" s="25"/>
    </row>
    <row r="1556" spans="2:14" ht="15.6" x14ac:dyDescent="0.3">
      <c r="B1556" s="32"/>
      <c r="C1556" s="32"/>
      <c r="M1556" s="25"/>
      <c r="N1556" s="25"/>
    </row>
    <row r="1557" spans="2:14" ht="15.6" x14ac:dyDescent="0.3">
      <c r="B1557" s="32"/>
      <c r="C1557" s="32"/>
      <c r="M1557" s="25"/>
      <c r="N1557" s="25"/>
    </row>
    <row r="1558" spans="2:14" ht="15.6" x14ac:dyDescent="0.3">
      <c r="B1558" s="32"/>
      <c r="C1558" s="32"/>
      <c r="M1558" s="25"/>
      <c r="N1558" s="25"/>
    </row>
    <row r="1559" spans="2:14" ht="15.6" x14ac:dyDescent="0.3">
      <c r="B1559" s="32"/>
      <c r="C1559" s="32"/>
      <c r="M1559" s="25"/>
      <c r="N1559" s="25"/>
    </row>
    <row r="1560" spans="2:14" ht="15.6" x14ac:dyDescent="0.3">
      <c r="B1560" s="32"/>
      <c r="C1560" s="32"/>
      <c r="M1560" s="25"/>
      <c r="N1560" s="25"/>
    </row>
    <row r="1561" spans="2:14" ht="15.6" x14ac:dyDescent="0.3">
      <c r="B1561" s="32"/>
      <c r="C1561" s="32"/>
      <c r="M1561" s="25"/>
      <c r="N1561" s="25"/>
    </row>
    <row r="1562" spans="2:14" ht="15.6" x14ac:dyDescent="0.3">
      <c r="B1562" s="32"/>
      <c r="C1562" s="32"/>
      <c r="M1562" s="25"/>
      <c r="N1562" s="25"/>
    </row>
    <row r="1563" spans="2:14" ht="15.6" x14ac:dyDescent="0.3">
      <c r="B1563" s="32"/>
      <c r="C1563" s="32"/>
      <c r="M1563" s="25"/>
      <c r="N1563" s="25"/>
    </row>
    <row r="1564" spans="2:14" ht="15.6" x14ac:dyDescent="0.3">
      <c r="B1564" s="32"/>
      <c r="C1564" s="32"/>
      <c r="M1564" s="25"/>
      <c r="N1564" s="25"/>
    </row>
    <row r="1565" spans="2:14" ht="15.6" x14ac:dyDescent="0.3">
      <c r="B1565" s="32"/>
      <c r="C1565" s="32"/>
      <c r="M1565" s="25"/>
      <c r="N1565" s="25"/>
    </row>
    <row r="1566" spans="2:14" ht="15.6" x14ac:dyDescent="0.3">
      <c r="B1566" s="32"/>
      <c r="C1566" s="32"/>
      <c r="M1566" s="25"/>
      <c r="N1566" s="25"/>
    </row>
    <row r="1567" spans="2:14" ht="15.6" x14ac:dyDescent="0.3">
      <c r="B1567" s="32"/>
      <c r="C1567" s="32"/>
      <c r="M1567" s="25"/>
      <c r="N1567" s="25"/>
    </row>
    <row r="1568" spans="2:14" ht="15.6" x14ac:dyDescent="0.3">
      <c r="B1568" s="32"/>
      <c r="C1568" s="32"/>
      <c r="M1568" s="25"/>
      <c r="N1568" s="25"/>
    </row>
    <row r="1569" spans="2:14" ht="15.6" x14ac:dyDescent="0.3">
      <c r="B1569" s="32"/>
      <c r="C1569" s="32"/>
      <c r="M1569" s="25"/>
      <c r="N1569" s="25"/>
    </row>
    <row r="1570" spans="2:14" ht="15.6" x14ac:dyDescent="0.3">
      <c r="B1570" s="32"/>
      <c r="C1570" s="32"/>
      <c r="M1570" s="25"/>
      <c r="N1570" s="25"/>
    </row>
    <row r="1571" spans="2:14" ht="15.6" x14ac:dyDescent="0.3">
      <c r="B1571" s="32"/>
      <c r="C1571" s="32"/>
      <c r="M1571" s="25"/>
      <c r="N1571" s="25"/>
    </row>
    <row r="1572" spans="2:14" ht="15.6" x14ac:dyDescent="0.3">
      <c r="B1572" s="32"/>
      <c r="C1572" s="32"/>
      <c r="M1572" s="25"/>
      <c r="N1572" s="25"/>
    </row>
    <row r="1573" spans="2:14" ht="15.6" x14ac:dyDescent="0.3">
      <c r="B1573" s="32"/>
      <c r="C1573" s="32"/>
      <c r="M1573" s="25"/>
      <c r="N1573" s="25"/>
    </row>
    <row r="1574" spans="2:14" ht="15.6" x14ac:dyDescent="0.3">
      <c r="B1574" s="32"/>
      <c r="C1574" s="32"/>
      <c r="M1574" s="25"/>
      <c r="N1574" s="25"/>
    </row>
    <row r="1575" spans="2:14" ht="15.6" x14ac:dyDescent="0.3">
      <c r="B1575" s="32"/>
      <c r="C1575" s="32"/>
      <c r="M1575" s="25"/>
      <c r="N1575" s="25"/>
    </row>
    <row r="1576" spans="2:14" ht="15.6" x14ac:dyDescent="0.3">
      <c r="B1576" s="32"/>
      <c r="C1576" s="32"/>
      <c r="M1576" s="25"/>
      <c r="N1576" s="25"/>
    </row>
    <row r="1577" spans="2:14" ht="15.6" x14ac:dyDescent="0.3">
      <c r="B1577" s="32"/>
      <c r="C1577" s="32"/>
      <c r="M1577" s="25"/>
      <c r="N1577" s="25"/>
    </row>
    <row r="1578" spans="2:14" ht="15.6" x14ac:dyDescent="0.3">
      <c r="B1578" s="32"/>
      <c r="C1578" s="32"/>
      <c r="M1578" s="25"/>
      <c r="N1578" s="25"/>
    </row>
    <row r="1579" spans="2:14" ht="15.6" x14ac:dyDescent="0.3">
      <c r="B1579" s="32"/>
      <c r="C1579" s="32"/>
      <c r="M1579" s="25"/>
      <c r="N1579" s="25"/>
    </row>
    <row r="1580" spans="2:14" ht="15.6" x14ac:dyDescent="0.3">
      <c r="B1580" s="32"/>
      <c r="C1580" s="32"/>
      <c r="M1580" s="25"/>
      <c r="N1580" s="25"/>
    </row>
    <row r="1581" spans="2:14" ht="15.6" x14ac:dyDescent="0.3">
      <c r="B1581" s="32"/>
      <c r="C1581" s="32"/>
      <c r="M1581" s="25"/>
      <c r="N1581" s="25"/>
    </row>
    <row r="1582" spans="2:14" ht="15.6" x14ac:dyDescent="0.3">
      <c r="B1582" s="32"/>
      <c r="C1582" s="32"/>
      <c r="M1582" s="25"/>
      <c r="N1582" s="25"/>
    </row>
    <row r="1583" spans="2:14" ht="15.6" x14ac:dyDescent="0.3">
      <c r="B1583" s="32"/>
      <c r="C1583" s="32"/>
      <c r="M1583" s="25"/>
      <c r="N1583" s="25"/>
    </row>
    <row r="1584" spans="2:14" ht="15.6" x14ac:dyDescent="0.3">
      <c r="B1584" s="32"/>
      <c r="C1584" s="32"/>
      <c r="M1584" s="25"/>
      <c r="N1584" s="25"/>
    </row>
    <row r="1585" spans="2:14" ht="15.6" x14ac:dyDescent="0.3">
      <c r="B1585" s="32"/>
      <c r="C1585" s="32"/>
      <c r="M1585" s="25"/>
      <c r="N1585" s="25"/>
    </row>
    <row r="1586" spans="2:14" ht="15.6" x14ac:dyDescent="0.3">
      <c r="B1586" s="32"/>
      <c r="C1586" s="32"/>
      <c r="M1586" s="25"/>
      <c r="N1586" s="25"/>
    </row>
    <row r="1587" spans="2:14" ht="15.6" x14ac:dyDescent="0.3">
      <c r="B1587" s="32"/>
      <c r="C1587" s="32"/>
      <c r="M1587" s="25"/>
      <c r="N1587" s="25"/>
    </row>
    <row r="1588" spans="2:14" ht="15.6" x14ac:dyDescent="0.3">
      <c r="B1588" s="32"/>
      <c r="C1588" s="32"/>
      <c r="M1588" s="25"/>
      <c r="N1588" s="25"/>
    </row>
    <row r="1589" spans="2:14" ht="15.6" x14ac:dyDescent="0.3">
      <c r="B1589" s="32"/>
      <c r="C1589" s="32"/>
      <c r="M1589" s="25"/>
      <c r="N1589" s="25"/>
    </row>
    <row r="1590" spans="2:14" ht="15.6" x14ac:dyDescent="0.3">
      <c r="B1590" s="32"/>
      <c r="C1590" s="32"/>
      <c r="M1590" s="25"/>
      <c r="N1590" s="25"/>
    </row>
    <row r="1591" spans="2:14" ht="15.6" x14ac:dyDescent="0.3">
      <c r="B1591" s="32"/>
      <c r="C1591" s="32"/>
      <c r="M1591" s="25"/>
      <c r="N1591" s="25"/>
    </row>
    <row r="1592" spans="2:14" ht="15.6" x14ac:dyDescent="0.3">
      <c r="B1592" s="32"/>
      <c r="C1592" s="32"/>
      <c r="M1592" s="25"/>
      <c r="N1592" s="25"/>
    </row>
    <row r="1593" spans="2:14" ht="15.6" x14ac:dyDescent="0.3">
      <c r="B1593" s="32"/>
      <c r="C1593" s="32"/>
      <c r="M1593" s="25"/>
      <c r="N1593" s="25"/>
    </row>
    <row r="1594" spans="2:14" ht="15.6" x14ac:dyDescent="0.3">
      <c r="B1594" s="32"/>
      <c r="C1594" s="32"/>
      <c r="M1594" s="25"/>
      <c r="N1594" s="25"/>
    </row>
    <row r="1595" spans="2:14" ht="15.6" x14ac:dyDescent="0.3">
      <c r="B1595" s="32"/>
      <c r="C1595" s="32"/>
      <c r="M1595" s="25"/>
      <c r="N1595" s="25"/>
    </row>
    <row r="1596" spans="2:14" ht="15.6" x14ac:dyDescent="0.3">
      <c r="B1596" s="32"/>
      <c r="C1596" s="32"/>
      <c r="M1596" s="25"/>
      <c r="N1596" s="25"/>
    </row>
    <row r="1597" spans="2:14" ht="15.6" x14ac:dyDescent="0.3">
      <c r="B1597" s="32"/>
      <c r="C1597" s="32"/>
      <c r="M1597" s="25"/>
      <c r="N1597" s="25"/>
    </row>
    <row r="1598" spans="2:14" ht="15.6" x14ac:dyDescent="0.3">
      <c r="B1598" s="32"/>
      <c r="C1598" s="32"/>
      <c r="M1598" s="25"/>
      <c r="N1598" s="25"/>
    </row>
    <row r="1599" spans="2:14" ht="15.6" x14ac:dyDescent="0.3">
      <c r="B1599" s="32"/>
      <c r="C1599" s="32"/>
      <c r="M1599" s="25"/>
      <c r="N1599" s="25"/>
    </row>
    <row r="1600" spans="2:14" ht="15.6" x14ac:dyDescent="0.3">
      <c r="B1600" s="32"/>
      <c r="C1600" s="32"/>
      <c r="M1600" s="25"/>
      <c r="N1600" s="25"/>
    </row>
    <row r="1601" spans="2:14" ht="15.6" x14ac:dyDescent="0.3">
      <c r="B1601" s="32"/>
      <c r="C1601" s="32"/>
      <c r="M1601" s="25"/>
      <c r="N1601" s="25"/>
    </row>
    <row r="1602" spans="2:14" ht="15.6" x14ac:dyDescent="0.3">
      <c r="B1602" s="32"/>
      <c r="C1602" s="32"/>
      <c r="M1602" s="25"/>
      <c r="N1602" s="25"/>
    </row>
    <row r="1603" spans="2:14" ht="15.6" x14ac:dyDescent="0.3">
      <c r="B1603" s="32"/>
      <c r="C1603" s="32"/>
      <c r="M1603" s="25"/>
      <c r="N1603" s="25"/>
    </row>
    <row r="1604" spans="2:14" ht="15.6" x14ac:dyDescent="0.3">
      <c r="B1604" s="32"/>
      <c r="C1604" s="32"/>
      <c r="M1604" s="25"/>
      <c r="N1604" s="25"/>
    </row>
    <row r="1605" spans="2:14" ht="15.6" x14ac:dyDescent="0.3">
      <c r="B1605" s="32"/>
      <c r="C1605" s="32"/>
      <c r="M1605" s="25"/>
      <c r="N1605" s="25"/>
    </row>
    <row r="1606" spans="2:14" ht="15.6" x14ac:dyDescent="0.3">
      <c r="B1606" s="32"/>
      <c r="C1606" s="32"/>
      <c r="M1606" s="25"/>
      <c r="N1606" s="25"/>
    </row>
    <row r="1607" spans="2:14" ht="15.6" x14ac:dyDescent="0.3">
      <c r="B1607" s="32"/>
      <c r="C1607" s="32"/>
      <c r="M1607" s="25"/>
      <c r="N1607" s="25"/>
    </row>
    <row r="1608" spans="2:14" ht="15.6" x14ac:dyDescent="0.3">
      <c r="B1608" s="32"/>
      <c r="C1608" s="32"/>
      <c r="M1608" s="25"/>
      <c r="N1608" s="25"/>
    </row>
    <row r="1609" spans="2:14" ht="15.6" x14ac:dyDescent="0.3">
      <c r="B1609" s="32"/>
      <c r="C1609" s="32"/>
      <c r="M1609" s="25"/>
      <c r="N1609" s="25"/>
    </row>
    <row r="1610" spans="2:14" ht="15.6" x14ac:dyDescent="0.3">
      <c r="B1610" s="32"/>
      <c r="C1610" s="32"/>
      <c r="M1610" s="25"/>
      <c r="N1610" s="25"/>
    </row>
    <row r="1611" spans="2:14" ht="15.6" x14ac:dyDescent="0.3">
      <c r="B1611" s="32"/>
      <c r="C1611" s="32"/>
      <c r="M1611" s="25"/>
      <c r="N1611" s="25"/>
    </row>
    <row r="1612" spans="2:14" ht="15.6" x14ac:dyDescent="0.3">
      <c r="B1612" s="32"/>
      <c r="C1612" s="32"/>
      <c r="M1612" s="25"/>
      <c r="N1612" s="25"/>
    </row>
    <row r="1613" spans="2:14" ht="15.6" x14ac:dyDescent="0.3">
      <c r="B1613" s="32"/>
      <c r="C1613" s="32"/>
      <c r="M1613" s="25"/>
      <c r="N1613" s="25"/>
    </row>
    <row r="1614" spans="2:14" ht="15.6" x14ac:dyDescent="0.3">
      <c r="B1614" s="32"/>
      <c r="C1614" s="32"/>
      <c r="M1614" s="25"/>
      <c r="N1614" s="25"/>
    </row>
    <row r="1615" spans="2:14" ht="15.6" x14ac:dyDescent="0.3">
      <c r="B1615" s="32"/>
      <c r="C1615" s="32"/>
      <c r="M1615" s="25"/>
      <c r="N1615" s="25"/>
    </row>
    <row r="1616" spans="2:14" ht="15.6" x14ac:dyDescent="0.3">
      <c r="B1616" s="32"/>
      <c r="C1616" s="32"/>
      <c r="M1616" s="25"/>
      <c r="N1616" s="25"/>
    </row>
    <row r="1617" spans="2:14" ht="15.6" x14ac:dyDescent="0.3">
      <c r="B1617" s="32"/>
      <c r="C1617" s="32"/>
      <c r="M1617" s="25"/>
      <c r="N1617" s="25"/>
    </row>
    <row r="1618" spans="2:14" ht="15.6" x14ac:dyDescent="0.3">
      <c r="B1618" s="32"/>
      <c r="C1618" s="32"/>
      <c r="M1618" s="25"/>
      <c r="N1618" s="25"/>
    </row>
    <row r="1619" spans="2:14" ht="15.6" x14ac:dyDescent="0.3">
      <c r="B1619" s="32"/>
      <c r="C1619" s="32"/>
      <c r="M1619" s="25"/>
      <c r="N1619" s="25"/>
    </row>
    <row r="1620" spans="2:14" ht="15.6" x14ac:dyDescent="0.3">
      <c r="B1620" s="32"/>
      <c r="C1620" s="32"/>
      <c r="M1620" s="25"/>
      <c r="N1620" s="25"/>
    </row>
    <row r="1621" spans="2:14" ht="15.6" x14ac:dyDescent="0.3">
      <c r="B1621" s="32"/>
      <c r="C1621" s="32"/>
      <c r="M1621" s="25"/>
      <c r="N1621" s="25"/>
    </row>
    <row r="1622" spans="2:14" ht="15.6" x14ac:dyDescent="0.3">
      <c r="B1622" s="32"/>
      <c r="C1622" s="32"/>
      <c r="M1622" s="25"/>
      <c r="N1622" s="25"/>
    </row>
    <row r="1623" spans="2:14" ht="15.6" x14ac:dyDescent="0.3">
      <c r="B1623" s="32"/>
      <c r="C1623" s="32"/>
      <c r="M1623" s="25"/>
      <c r="N1623" s="25"/>
    </row>
    <row r="1624" spans="2:14" ht="15.6" x14ac:dyDescent="0.3">
      <c r="B1624" s="32"/>
      <c r="C1624" s="32"/>
      <c r="M1624" s="25"/>
      <c r="N1624" s="25"/>
    </row>
    <row r="1625" spans="2:14" ht="15.6" x14ac:dyDescent="0.3">
      <c r="B1625" s="32"/>
      <c r="C1625" s="32"/>
      <c r="M1625" s="25"/>
      <c r="N1625" s="25"/>
    </row>
    <row r="1626" spans="2:14" ht="15.6" x14ac:dyDescent="0.3">
      <c r="B1626" s="32"/>
      <c r="C1626" s="32"/>
      <c r="M1626" s="25"/>
      <c r="N1626" s="25"/>
    </row>
    <row r="1627" spans="2:14" ht="15.6" x14ac:dyDescent="0.3">
      <c r="B1627" s="32"/>
      <c r="C1627" s="32"/>
      <c r="M1627" s="25"/>
      <c r="N1627" s="25"/>
    </row>
    <row r="1628" spans="2:14" ht="15.6" x14ac:dyDescent="0.3">
      <c r="B1628" s="32"/>
      <c r="C1628" s="32"/>
      <c r="M1628" s="25"/>
      <c r="N1628" s="25"/>
    </row>
    <row r="1629" spans="2:14" ht="15.6" x14ac:dyDescent="0.3">
      <c r="B1629" s="32"/>
      <c r="C1629" s="32"/>
      <c r="M1629" s="25"/>
      <c r="N1629" s="25"/>
    </row>
    <row r="1630" spans="2:14" ht="15.6" x14ac:dyDescent="0.3">
      <c r="B1630" s="32"/>
      <c r="C1630" s="32"/>
      <c r="M1630" s="25"/>
      <c r="N1630" s="25"/>
    </row>
    <row r="1631" spans="2:14" ht="15.6" x14ac:dyDescent="0.3">
      <c r="B1631" s="32"/>
      <c r="C1631" s="32"/>
      <c r="M1631" s="25"/>
      <c r="N1631" s="25"/>
    </row>
    <row r="1632" spans="2:14" ht="15.6" x14ac:dyDescent="0.3">
      <c r="B1632" s="32"/>
      <c r="C1632" s="32"/>
      <c r="M1632" s="25"/>
      <c r="N1632" s="25"/>
    </row>
    <row r="1633" spans="2:14" ht="15.6" x14ac:dyDescent="0.3">
      <c r="B1633" s="32"/>
      <c r="C1633" s="32"/>
      <c r="M1633" s="25"/>
      <c r="N1633" s="25"/>
    </row>
    <row r="1634" spans="2:14" ht="15.6" x14ac:dyDescent="0.3">
      <c r="B1634" s="32"/>
      <c r="C1634" s="32"/>
      <c r="M1634" s="25"/>
      <c r="N1634" s="25"/>
    </row>
    <row r="1635" spans="2:14" ht="15.6" x14ac:dyDescent="0.3">
      <c r="B1635" s="32"/>
      <c r="C1635" s="32"/>
      <c r="M1635" s="25"/>
      <c r="N1635" s="25"/>
    </row>
    <row r="1636" spans="2:14" ht="15.6" x14ac:dyDescent="0.3">
      <c r="B1636" s="32"/>
      <c r="C1636" s="32"/>
      <c r="M1636" s="25"/>
      <c r="N1636" s="25"/>
    </row>
    <row r="1637" spans="2:14" ht="15.6" x14ac:dyDescent="0.3">
      <c r="B1637" s="32"/>
      <c r="C1637" s="32"/>
      <c r="M1637" s="25"/>
      <c r="N1637" s="25"/>
    </row>
    <row r="1638" spans="2:14" ht="15.6" x14ac:dyDescent="0.3">
      <c r="B1638" s="32"/>
      <c r="C1638" s="32"/>
      <c r="M1638" s="25"/>
      <c r="N1638" s="25"/>
    </row>
    <row r="1639" spans="2:14" ht="15.6" x14ac:dyDescent="0.3">
      <c r="B1639" s="32"/>
      <c r="C1639" s="32"/>
      <c r="M1639" s="25"/>
      <c r="N1639" s="25"/>
    </row>
    <row r="1640" spans="2:14" ht="15.6" x14ac:dyDescent="0.3">
      <c r="B1640" s="32"/>
      <c r="C1640" s="32"/>
      <c r="M1640" s="25"/>
      <c r="N1640" s="25"/>
    </row>
    <row r="1641" spans="2:14" ht="15.6" x14ac:dyDescent="0.3">
      <c r="B1641" s="32"/>
      <c r="C1641" s="32"/>
      <c r="M1641" s="25"/>
      <c r="N1641" s="25"/>
    </row>
    <row r="1642" spans="2:14" ht="15.6" x14ac:dyDescent="0.3">
      <c r="B1642" s="32"/>
      <c r="C1642" s="32"/>
      <c r="M1642" s="25"/>
      <c r="N1642" s="25"/>
    </row>
    <row r="1643" spans="2:14" ht="15.6" x14ac:dyDescent="0.3">
      <c r="B1643" s="32"/>
      <c r="C1643" s="32"/>
      <c r="M1643" s="25"/>
      <c r="N1643" s="25"/>
    </row>
    <row r="1644" spans="2:14" ht="15.6" x14ac:dyDescent="0.3">
      <c r="B1644" s="32"/>
      <c r="C1644" s="32"/>
      <c r="M1644" s="25"/>
      <c r="N1644" s="25"/>
    </row>
    <row r="1645" spans="2:14" ht="15.6" x14ac:dyDescent="0.3">
      <c r="B1645" s="32"/>
      <c r="C1645" s="32"/>
      <c r="M1645" s="25"/>
      <c r="N1645" s="25"/>
    </row>
    <row r="1646" spans="2:14" ht="15.6" x14ac:dyDescent="0.3">
      <c r="B1646" s="32"/>
      <c r="C1646" s="32"/>
      <c r="M1646" s="25"/>
      <c r="N1646" s="25"/>
    </row>
    <row r="1647" spans="2:14" ht="15.6" x14ac:dyDescent="0.3">
      <c r="B1647" s="32"/>
      <c r="C1647" s="32"/>
      <c r="M1647" s="25"/>
      <c r="N1647" s="25"/>
    </row>
    <row r="1648" spans="2:14" ht="15.6" x14ac:dyDescent="0.3">
      <c r="B1648" s="32"/>
      <c r="C1648" s="32"/>
      <c r="M1648" s="25"/>
      <c r="N1648" s="25"/>
    </row>
    <row r="1649" spans="2:14" ht="15.6" x14ac:dyDescent="0.3">
      <c r="B1649" s="32"/>
      <c r="C1649" s="32"/>
      <c r="M1649" s="25"/>
      <c r="N1649" s="25"/>
    </row>
    <row r="1650" spans="2:14" ht="15.6" x14ac:dyDescent="0.3">
      <c r="B1650" s="32"/>
      <c r="C1650" s="32"/>
      <c r="M1650" s="25"/>
      <c r="N1650" s="25"/>
    </row>
    <row r="1651" spans="2:14" ht="15.6" x14ac:dyDescent="0.3">
      <c r="B1651" s="32"/>
      <c r="C1651" s="32"/>
      <c r="M1651" s="25"/>
      <c r="N1651" s="25"/>
    </row>
    <row r="1652" spans="2:14" ht="15.6" x14ac:dyDescent="0.3">
      <c r="B1652" s="32"/>
      <c r="C1652" s="32"/>
      <c r="M1652" s="25"/>
      <c r="N1652" s="25"/>
    </row>
    <row r="1653" spans="2:14" ht="15.6" x14ac:dyDescent="0.3">
      <c r="B1653" s="32"/>
      <c r="C1653" s="32"/>
      <c r="M1653" s="25"/>
      <c r="N1653" s="25"/>
    </row>
    <row r="1654" spans="2:14" ht="15.6" x14ac:dyDescent="0.3">
      <c r="B1654" s="32"/>
      <c r="C1654" s="32"/>
      <c r="M1654" s="25"/>
      <c r="N1654" s="25"/>
    </row>
    <row r="1655" spans="2:14" ht="15.6" x14ac:dyDescent="0.3">
      <c r="B1655" s="32"/>
      <c r="C1655" s="32"/>
      <c r="M1655" s="25"/>
      <c r="N1655" s="25"/>
    </row>
    <row r="1656" spans="2:14" ht="15.6" x14ac:dyDescent="0.3">
      <c r="B1656" s="32"/>
      <c r="C1656" s="32"/>
      <c r="M1656" s="25"/>
      <c r="N1656" s="25"/>
    </row>
    <row r="1657" spans="2:14" ht="15.6" x14ac:dyDescent="0.3">
      <c r="B1657" s="32"/>
      <c r="C1657" s="32"/>
      <c r="M1657" s="25"/>
      <c r="N1657" s="25"/>
    </row>
    <row r="1658" spans="2:14" ht="15.6" x14ac:dyDescent="0.3">
      <c r="B1658" s="32"/>
      <c r="C1658" s="32"/>
      <c r="M1658" s="25"/>
      <c r="N1658" s="25"/>
    </row>
    <row r="1659" spans="2:14" ht="15.6" x14ac:dyDescent="0.3">
      <c r="B1659" s="32"/>
      <c r="C1659" s="32"/>
      <c r="M1659" s="25"/>
      <c r="N1659" s="25"/>
    </row>
    <row r="1660" spans="2:14" ht="15.6" x14ac:dyDescent="0.3">
      <c r="B1660" s="32"/>
      <c r="C1660" s="32"/>
      <c r="M1660" s="25"/>
      <c r="N1660" s="25"/>
    </row>
    <row r="1661" spans="2:14" ht="15.6" x14ac:dyDescent="0.3">
      <c r="B1661" s="32"/>
      <c r="C1661" s="32"/>
      <c r="M1661" s="25"/>
      <c r="N1661" s="25"/>
    </row>
    <row r="1662" spans="2:14" ht="15.6" x14ac:dyDescent="0.3">
      <c r="B1662" s="32"/>
      <c r="C1662" s="32"/>
      <c r="M1662" s="25"/>
      <c r="N1662" s="25"/>
    </row>
    <row r="1663" spans="2:14" ht="15.6" x14ac:dyDescent="0.3">
      <c r="B1663" s="32"/>
      <c r="C1663" s="32"/>
      <c r="M1663" s="25"/>
      <c r="N1663" s="25"/>
    </row>
    <row r="1664" spans="2:14" ht="15.6" x14ac:dyDescent="0.3">
      <c r="B1664" s="32"/>
      <c r="C1664" s="32"/>
      <c r="M1664" s="25"/>
      <c r="N1664" s="25"/>
    </row>
    <row r="1665" spans="2:14" ht="15.6" x14ac:dyDescent="0.3">
      <c r="B1665" s="32"/>
      <c r="C1665" s="32"/>
      <c r="M1665" s="25"/>
      <c r="N1665" s="25"/>
    </row>
    <row r="1666" spans="2:14" ht="15.6" x14ac:dyDescent="0.3">
      <c r="B1666" s="32"/>
      <c r="C1666" s="32"/>
      <c r="M1666" s="25"/>
      <c r="N1666" s="25"/>
    </row>
    <row r="1667" spans="2:14" ht="15.6" x14ac:dyDescent="0.3">
      <c r="B1667" s="32"/>
      <c r="C1667" s="32"/>
      <c r="M1667" s="25"/>
      <c r="N1667" s="25"/>
    </row>
    <row r="1668" spans="2:14" ht="15.6" x14ac:dyDescent="0.3">
      <c r="B1668" s="32"/>
      <c r="C1668" s="32"/>
      <c r="M1668" s="25"/>
      <c r="N1668" s="25"/>
    </row>
    <row r="1669" spans="2:14" ht="15.6" x14ac:dyDescent="0.3">
      <c r="B1669" s="32"/>
      <c r="C1669" s="32"/>
      <c r="M1669" s="25"/>
      <c r="N1669" s="25"/>
    </row>
    <row r="1670" spans="2:14" ht="15.6" x14ac:dyDescent="0.3">
      <c r="B1670" s="32"/>
      <c r="C1670" s="32"/>
      <c r="M1670" s="25"/>
      <c r="N1670" s="25"/>
    </row>
    <row r="1671" spans="2:14" ht="15.6" x14ac:dyDescent="0.3">
      <c r="B1671" s="32"/>
      <c r="C1671" s="32"/>
      <c r="M1671" s="25"/>
      <c r="N1671" s="25"/>
    </row>
    <row r="1672" spans="2:14" ht="15.6" x14ac:dyDescent="0.3">
      <c r="B1672" s="32"/>
      <c r="C1672" s="32"/>
      <c r="M1672" s="25"/>
      <c r="N1672" s="25"/>
    </row>
    <row r="1673" spans="2:14" ht="15.6" x14ac:dyDescent="0.3">
      <c r="B1673" s="32"/>
      <c r="C1673" s="32"/>
      <c r="M1673" s="25"/>
      <c r="N1673" s="25"/>
    </row>
    <row r="1674" spans="2:14" ht="15.6" x14ac:dyDescent="0.3">
      <c r="B1674" s="32"/>
      <c r="C1674" s="32"/>
      <c r="M1674" s="25"/>
      <c r="N1674" s="25"/>
    </row>
    <row r="1675" spans="2:14" ht="15.6" x14ac:dyDescent="0.3">
      <c r="B1675" s="32"/>
      <c r="C1675" s="32"/>
      <c r="M1675" s="25"/>
      <c r="N1675" s="25"/>
    </row>
    <row r="1676" spans="2:14" ht="15.6" x14ac:dyDescent="0.3">
      <c r="B1676" s="32"/>
      <c r="C1676" s="32"/>
      <c r="M1676" s="25"/>
      <c r="N1676" s="25"/>
    </row>
    <row r="1677" spans="2:14" ht="15.6" x14ac:dyDescent="0.3">
      <c r="B1677" s="32"/>
      <c r="C1677" s="32"/>
      <c r="M1677" s="25"/>
      <c r="N1677" s="25"/>
    </row>
    <row r="1678" spans="2:14" ht="15.6" x14ac:dyDescent="0.3">
      <c r="B1678" s="32"/>
      <c r="C1678" s="32"/>
      <c r="M1678" s="25"/>
      <c r="N1678" s="25"/>
    </row>
    <row r="1679" spans="2:14" ht="15.6" x14ac:dyDescent="0.3">
      <c r="B1679" s="32"/>
      <c r="C1679" s="32"/>
      <c r="M1679" s="25"/>
      <c r="N1679" s="25"/>
    </row>
    <row r="1680" spans="2:14" ht="15.6" x14ac:dyDescent="0.3">
      <c r="B1680" s="32"/>
      <c r="C1680" s="32"/>
      <c r="M1680" s="25"/>
      <c r="N1680" s="25"/>
    </row>
    <row r="1681" spans="2:14" ht="15.6" x14ac:dyDescent="0.3">
      <c r="B1681" s="32"/>
      <c r="C1681" s="32"/>
      <c r="M1681" s="25"/>
      <c r="N1681" s="25"/>
    </row>
    <row r="1682" spans="2:14" ht="15.6" x14ac:dyDescent="0.3">
      <c r="B1682" s="32"/>
      <c r="C1682" s="32"/>
      <c r="M1682" s="25"/>
      <c r="N1682" s="25"/>
    </row>
    <row r="1683" spans="2:14" ht="15.6" x14ac:dyDescent="0.3">
      <c r="B1683" s="32"/>
      <c r="C1683" s="32"/>
      <c r="M1683" s="25"/>
      <c r="N1683" s="25"/>
    </row>
    <row r="1684" spans="2:14" ht="15.6" x14ac:dyDescent="0.3">
      <c r="B1684" s="32"/>
      <c r="C1684" s="32"/>
      <c r="M1684" s="25"/>
      <c r="N1684" s="25"/>
    </row>
    <row r="1685" spans="2:14" ht="15.6" x14ac:dyDescent="0.3">
      <c r="B1685" s="32"/>
      <c r="C1685" s="32"/>
      <c r="M1685" s="25"/>
      <c r="N1685" s="25"/>
    </row>
    <row r="1686" spans="2:14" ht="15.6" x14ac:dyDescent="0.3">
      <c r="B1686" s="32"/>
      <c r="C1686" s="32"/>
      <c r="M1686" s="25"/>
      <c r="N1686" s="25"/>
    </row>
    <row r="1687" spans="2:14" ht="15.6" x14ac:dyDescent="0.3">
      <c r="B1687" s="32"/>
      <c r="C1687" s="32"/>
      <c r="M1687" s="25"/>
      <c r="N1687" s="25"/>
    </row>
    <row r="1688" spans="2:14" ht="15.6" x14ac:dyDescent="0.3">
      <c r="B1688" s="32"/>
      <c r="C1688" s="32"/>
      <c r="M1688" s="25"/>
      <c r="N1688" s="25"/>
    </row>
    <row r="1689" spans="2:14" ht="15.6" x14ac:dyDescent="0.3">
      <c r="B1689" s="32"/>
      <c r="C1689" s="32"/>
      <c r="M1689" s="25"/>
      <c r="N1689" s="25"/>
    </row>
    <row r="1690" spans="2:14" ht="15.6" x14ac:dyDescent="0.3">
      <c r="B1690" s="32"/>
      <c r="C1690" s="32"/>
      <c r="M1690" s="25"/>
      <c r="N1690" s="25"/>
    </row>
    <row r="1691" spans="2:14" ht="15.6" x14ac:dyDescent="0.3">
      <c r="B1691" s="32"/>
      <c r="C1691" s="32"/>
      <c r="M1691" s="25"/>
      <c r="N1691" s="25"/>
    </row>
    <row r="1692" spans="2:14" ht="15.6" x14ac:dyDescent="0.3">
      <c r="B1692" s="32"/>
      <c r="C1692" s="32"/>
      <c r="M1692" s="25"/>
      <c r="N1692" s="25"/>
    </row>
    <row r="1693" spans="2:14" ht="15.6" x14ac:dyDescent="0.3">
      <c r="B1693" s="32"/>
      <c r="C1693" s="32"/>
      <c r="M1693" s="25"/>
      <c r="N1693" s="25"/>
    </row>
    <row r="1694" spans="2:14" ht="15.6" x14ac:dyDescent="0.3">
      <c r="B1694" s="32"/>
      <c r="C1694" s="32"/>
      <c r="M1694" s="25"/>
      <c r="N1694" s="25"/>
    </row>
    <row r="1695" spans="2:14" ht="15.6" x14ac:dyDescent="0.3">
      <c r="B1695" s="32"/>
      <c r="C1695" s="32"/>
      <c r="M1695" s="25"/>
      <c r="N1695" s="25"/>
    </row>
    <row r="1696" spans="2:14" ht="15.6" x14ac:dyDescent="0.3">
      <c r="B1696" s="32"/>
      <c r="C1696" s="32"/>
      <c r="M1696" s="25"/>
      <c r="N1696" s="25"/>
    </row>
    <row r="1697" spans="2:14" ht="15.6" x14ac:dyDescent="0.3">
      <c r="B1697" s="32"/>
      <c r="C1697" s="32"/>
      <c r="M1697" s="25"/>
      <c r="N1697" s="25"/>
    </row>
    <row r="1698" spans="2:14" ht="15.6" x14ac:dyDescent="0.3">
      <c r="B1698" s="32"/>
      <c r="C1698" s="32"/>
      <c r="M1698" s="25"/>
      <c r="N1698" s="25"/>
    </row>
    <row r="1699" spans="2:14" ht="15.6" x14ac:dyDescent="0.3">
      <c r="B1699" s="32"/>
      <c r="C1699" s="32"/>
      <c r="M1699" s="25"/>
      <c r="N1699" s="25"/>
    </row>
    <row r="1700" spans="2:14" ht="15.6" x14ac:dyDescent="0.3">
      <c r="B1700" s="32"/>
      <c r="C1700" s="32"/>
      <c r="M1700" s="25"/>
      <c r="N1700" s="25"/>
    </row>
    <row r="1701" spans="2:14" ht="15.6" x14ac:dyDescent="0.3">
      <c r="B1701" s="32"/>
      <c r="C1701" s="32"/>
      <c r="M1701" s="25"/>
      <c r="N1701" s="25"/>
    </row>
    <row r="1702" spans="2:14" ht="15.6" x14ac:dyDescent="0.3">
      <c r="B1702" s="32"/>
      <c r="C1702" s="32"/>
      <c r="M1702" s="25"/>
      <c r="N1702" s="25"/>
    </row>
    <row r="1703" spans="2:14" ht="15.6" x14ac:dyDescent="0.3">
      <c r="B1703" s="32"/>
      <c r="C1703" s="32"/>
      <c r="M1703" s="25"/>
      <c r="N1703" s="25"/>
    </row>
    <row r="1704" spans="2:14" ht="15.6" x14ac:dyDescent="0.3">
      <c r="B1704" s="32"/>
      <c r="C1704" s="32"/>
      <c r="M1704" s="25"/>
      <c r="N1704" s="25"/>
    </row>
    <row r="1705" spans="2:14" ht="15.6" x14ac:dyDescent="0.3">
      <c r="B1705" s="32"/>
      <c r="C1705" s="32"/>
      <c r="M1705" s="25"/>
      <c r="N1705" s="25"/>
    </row>
    <row r="1706" spans="2:14" ht="15.6" x14ac:dyDescent="0.3">
      <c r="B1706" s="32"/>
      <c r="C1706" s="32"/>
      <c r="M1706" s="25"/>
      <c r="N1706" s="25"/>
    </row>
    <row r="1707" spans="2:14" ht="15.6" x14ac:dyDescent="0.3">
      <c r="B1707" s="32"/>
      <c r="C1707" s="32"/>
      <c r="M1707" s="25"/>
      <c r="N1707" s="25"/>
    </row>
    <row r="1708" spans="2:14" ht="15.6" x14ac:dyDescent="0.3">
      <c r="B1708" s="32"/>
      <c r="C1708" s="32"/>
      <c r="M1708" s="25"/>
      <c r="N1708" s="25"/>
    </row>
    <row r="1709" spans="2:14" ht="15.6" x14ac:dyDescent="0.3">
      <c r="B1709" s="32"/>
      <c r="C1709" s="32"/>
      <c r="M1709" s="25"/>
      <c r="N1709" s="25"/>
    </row>
    <row r="1710" spans="2:14" ht="15.6" x14ac:dyDescent="0.3">
      <c r="B1710" s="32"/>
      <c r="C1710" s="32"/>
      <c r="M1710" s="25"/>
      <c r="N1710" s="25"/>
    </row>
    <row r="1711" spans="2:14" ht="15.6" x14ac:dyDescent="0.3">
      <c r="B1711" s="32"/>
      <c r="C1711" s="32"/>
      <c r="M1711" s="25"/>
      <c r="N1711" s="25"/>
    </row>
    <row r="1712" spans="2:14" ht="15.6" x14ac:dyDescent="0.3">
      <c r="B1712" s="32"/>
      <c r="C1712" s="32"/>
      <c r="M1712" s="25"/>
      <c r="N1712" s="25"/>
    </row>
    <row r="1713" spans="2:14" ht="15.6" x14ac:dyDescent="0.3">
      <c r="B1713" s="32"/>
      <c r="C1713" s="32"/>
      <c r="M1713" s="25"/>
      <c r="N1713" s="25"/>
    </row>
    <row r="1714" spans="2:14" ht="15.6" x14ac:dyDescent="0.3">
      <c r="B1714" s="32"/>
      <c r="C1714" s="32"/>
      <c r="M1714" s="25"/>
      <c r="N1714" s="25"/>
    </row>
    <row r="1715" spans="2:14" ht="15.6" x14ac:dyDescent="0.3">
      <c r="B1715" s="32"/>
      <c r="C1715" s="32"/>
      <c r="M1715" s="25"/>
      <c r="N1715" s="25"/>
    </row>
    <row r="1716" spans="2:14" ht="15.6" x14ac:dyDescent="0.3">
      <c r="B1716" s="32"/>
      <c r="C1716" s="32"/>
      <c r="M1716" s="25"/>
      <c r="N1716" s="25"/>
    </row>
    <row r="1717" spans="2:14" ht="15.6" x14ac:dyDescent="0.3">
      <c r="B1717" s="32"/>
      <c r="C1717" s="32"/>
      <c r="M1717" s="25"/>
      <c r="N1717" s="25"/>
    </row>
    <row r="1718" spans="2:14" ht="15.6" x14ac:dyDescent="0.3">
      <c r="B1718" s="32"/>
      <c r="C1718" s="32"/>
      <c r="M1718" s="25"/>
      <c r="N1718" s="25"/>
    </row>
    <row r="1719" spans="2:14" ht="15.6" x14ac:dyDescent="0.3">
      <c r="B1719" s="32"/>
      <c r="C1719" s="32"/>
      <c r="M1719" s="25"/>
      <c r="N1719" s="25"/>
    </row>
    <row r="1720" spans="2:14" ht="15.6" x14ac:dyDescent="0.3">
      <c r="B1720" s="32"/>
      <c r="C1720" s="32"/>
      <c r="M1720" s="25"/>
      <c r="N1720" s="25"/>
    </row>
    <row r="1721" spans="2:14" ht="15.6" x14ac:dyDescent="0.3">
      <c r="B1721" s="32"/>
      <c r="C1721" s="32"/>
      <c r="M1721" s="25"/>
      <c r="N1721" s="25"/>
    </row>
    <row r="1722" spans="2:14" ht="15.6" x14ac:dyDescent="0.3">
      <c r="B1722" s="32"/>
      <c r="C1722" s="32"/>
      <c r="M1722" s="25"/>
      <c r="N1722" s="25"/>
    </row>
    <row r="1723" spans="2:14" ht="15.6" x14ac:dyDescent="0.3">
      <c r="B1723" s="32"/>
      <c r="C1723" s="32"/>
      <c r="M1723" s="25"/>
      <c r="N1723" s="25"/>
    </row>
    <row r="1724" spans="2:14" ht="15.6" x14ac:dyDescent="0.3">
      <c r="B1724" s="32"/>
      <c r="C1724" s="32"/>
      <c r="M1724" s="25"/>
      <c r="N1724" s="25"/>
    </row>
    <row r="1725" spans="2:14" ht="15.6" x14ac:dyDescent="0.3">
      <c r="B1725" s="32"/>
      <c r="C1725" s="32"/>
      <c r="M1725" s="25"/>
      <c r="N1725" s="25"/>
    </row>
    <row r="1726" spans="2:14" ht="15.6" x14ac:dyDescent="0.3">
      <c r="B1726" s="32"/>
      <c r="C1726" s="32"/>
      <c r="M1726" s="25"/>
      <c r="N1726" s="25"/>
    </row>
    <row r="1727" spans="2:14" ht="15.6" x14ac:dyDescent="0.3">
      <c r="B1727" s="32"/>
      <c r="C1727" s="32"/>
      <c r="M1727" s="25"/>
      <c r="N1727" s="25"/>
    </row>
    <row r="1728" spans="2:14" ht="15.6" x14ac:dyDescent="0.3">
      <c r="B1728" s="32"/>
      <c r="C1728" s="32"/>
      <c r="M1728" s="25"/>
      <c r="N1728" s="25"/>
    </row>
    <row r="1729" spans="2:14" ht="15.6" x14ac:dyDescent="0.3">
      <c r="B1729" s="32"/>
      <c r="C1729" s="32"/>
      <c r="M1729" s="25"/>
      <c r="N1729" s="25"/>
    </row>
    <row r="1730" spans="2:14" ht="15.6" x14ac:dyDescent="0.3">
      <c r="B1730" s="32"/>
      <c r="C1730" s="32"/>
      <c r="M1730" s="25"/>
      <c r="N1730" s="25"/>
    </row>
    <row r="1731" spans="2:14" ht="15.6" x14ac:dyDescent="0.3">
      <c r="B1731" s="32"/>
      <c r="C1731" s="32"/>
      <c r="M1731" s="25"/>
      <c r="N1731" s="25"/>
    </row>
    <row r="1732" spans="2:14" ht="15.6" x14ac:dyDescent="0.3">
      <c r="B1732" s="32"/>
      <c r="C1732" s="32"/>
      <c r="M1732" s="25"/>
      <c r="N1732" s="25"/>
    </row>
    <row r="1733" spans="2:14" ht="15.6" x14ac:dyDescent="0.3">
      <c r="B1733" s="32"/>
      <c r="C1733" s="32"/>
      <c r="M1733" s="25"/>
      <c r="N1733" s="25"/>
    </row>
    <row r="1734" spans="2:14" ht="15.6" x14ac:dyDescent="0.3">
      <c r="B1734" s="32"/>
      <c r="C1734" s="32"/>
      <c r="M1734" s="25"/>
      <c r="N1734" s="25"/>
    </row>
    <row r="1735" spans="2:14" ht="15.6" x14ac:dyDescent="0.3">
      <c r="B1735" s="32"/>
      <c r="C1735" s="32"/>
      <c r="M1735" s="25"/>
      <c r="N1735" s="25"/>
    </row>
    <row r="1736" spans="2:14" ht="15.6" x14ac:dyDescent="0.3">
      <c r="B1736" s="32"/>
      <c r="C1736" s="32"/>
      <c r="M1736" s="25"/>
      <c r="N1736" s="25"/>
    </row>
    <row r="1737" spans="2:14" ht="15.6" x14ac:dyDescent="0.3">
      <c r="B1737" s="32"/>
      <c r="C1737" s="32"/>
      <c r="M1737" s="25"/>
      <c r="N1737" s="25"/>
    </row>
    <row r="1738" spans="2:14" ht="15.6" x14ac:dyDescent="0.3">
      <c r="B1738" s="32"/>
      <c r="C1738" s="32"/>
      <c r="M1738" s="25"/>
      <c r="N1738" s="25"/>
    </row>
    <row r="1739" spans="2:14" ht="15.6" x14ac:dyDescent="0.3">
      <c r="B1739" s="32"/>
      <c r="C1739" s="32"/>
      <c r="M1739" s="25"/>
      <c r="N1739" s="25"/>
    </row>
    <row r="1740" spans="2:14" ht="15.6" x14ac:dyDescent="0.3">
      <c r="B1740" s="32"/>
      <c r="C1740" s="32"/>
      <c r="M1740" s="25"/>
      <c r="N1740" s="25"/>
    </row>
    <row r="1741" spans="2:14" ht="15.6" x14ac:dyDescent="0.3">
      <c r="B1741" s="32"/>
      <c r="C1741" s="32"/>
      <c r="M1741" s="25"/>
      <c r="N1741" s="25"/>
    </row>
    <row r="1742" spans="2:14" ht="15.6" x14ac:dyDescent="0.3">
      <c r="B1742" s="32"/>
      <c r="C1742" s="32"/>
      <c r="M1742" s="25"/>
      <c r="N1742" s="25"/>
    </row>
    <row r="1743" spans="2:14" ht="15.6" x14ac:dyDescent="0.3">
      <c r="B1743" s="32"/>
      <c r="C1743" s="32"/>
      <c r="M1743" s="25"/>
      <c r="N1743" s="25"/>
    </row>
    <row r="1744" spans="2:14" ht="15.6" x14ac:dyDescent="0.3">
      <c r="B1744" s="32"/>
      <c r="C1744" s="32"/>
      <c r="M1744" s="25"/>
      <c r="N1744" s="25"/>
    </row>
    <row r="1745" spans="2:14" ht="15.6" x14ac:dyDescent="0.3">
      <c r="B1745" s="32"/>
      <c r="C1745" s="32"/>
      <c r="M1745" s="25"/>
      <c r="N1745" s="25"/>
    </row>
    <row r="1746" spans="2:14" ht="15.6" x14ac:dyDescent="0.3">
      <c r="B1746" s="32"/>
      <c r="C1746" s="32"/>
      <c r="M1746" s="25"/>
      <c r="N1746" s="25"/>
    </row>
    <row r="1747" spans="2:14" ht="15.6" x14ac:dyDescent="0.3">
      <c r="B1747" s="32"/>
      <c r="C1747" s="32"/>
      <c r="M1747" s="25"/>
      <c r="N1747" s="25"/>
    </row>
    <row r="1748" spans="2:14" ht="15.6" x14ac:dyDescent="0.3">
      <c r="B1748" s="32"/>
      <c r="C1748" s="32"/>
      <c r="M1748" s="25"/>
      <c r="N1748" s="25"/>
    </row>
    <row r="1749" spans="2:14" ht="15.6" x14ac:dyDescent="0.3">
      <c r="B1749" s="32"/>
      <c r="C1749" s="32"/>
      <c r="M1749" s="25"/>
      <c r="N1749" s="25"/>
    </row>
    <row r="1750" spans="2:14" ht="15.6" x14ac:dyDescent="0.3">
      <c r="B1750" s="32"/>
      <c r="C1750" s="32"/>
      <c r="M1750" s="25"/>
      <c r="N1750" s="25"/>
    </row>
    <row r="1751" spans="2:14" ht="15.6" x14ac:dyDescent="0.3">
      <c r="B1751" s="32"/>
      <c r="C1751" s="32"/>
      <c r="M1751" s="25"/>
      <c r="N1751" s="25"/>
    </row>
    <row r="1752" spans="2:14" ht="15.6" x14ac:dyDescent="0.3">
      <c r="B1752" s="32"/>
      <c r="C1752" s="32"/>
      <c r="M1752" s="25"/>
      <c r="N1752" s="25"/>
    </row>
    <row r="1753" spans="2:14" ht="15.6" x14ac:dyDescent="0.3">
      <c r="B1753" s="32"/>
      <c r="C1753" s="32"/>
      <c r="M1753" s="25"/>
      <c r="N1753" s="25"/>
    </row>
    <row r="1754" spans="2:14" ht="15.6" x14ac:dyDescent="0.3">
      <c r="B1754" s="32"/>
      <c r="C1754" s="32"/>
      <c r="M1754" s="25"/>
      <c r="N1754" s="25"/>
    </row>
    <row r="1755" spans="2:14" ht="15.6" x14ac:dyDescent="0.3">
      <c r="B1755" s="32"/>
      <c r="C1755" s="32"/>
      <c r="M1755" s="25"/>
      <c r="N1755" s="25"/>
    </row>
    <row r="1756" spans="2:14" ht="15.6" x14ac:dyDescent="0.3">
      <c r="B1756" s="32"/>
      <c r="C1756" s="32"/>
      <c r="M1756" s="25"/>
      <c r="N1756" s="25"/>
    </row>
    <row r="1757" spans="2:14" ht="15.6" x14ac:dyDescent="0.3">
      <c r="B1757" s="32"/>
      <c r="C1757" s="32"/>
      <c r="M1757" s="25"/>
      <c r="N1757" s="25"/>
    </row>
    <row r="1758" spans="2:14" ht="15.6" x14ac:dyDescent="0.3">
      <c r="B1758" s="32"/>
      <c r="C1758" s="32"/>
      <c r="M1758" s="25"/>
      <c r="N1758" s="25"/>
    </row>
    <row r="1759" spans="2:14" ht="15.6" x14ac:dyDescent="0.3">
      <c r="B1759" s="32"/>
      <c r="C1759" s="32"/>
      <c r="M1759" s="25"/>
      <c r="N1759" s="25"/>
    </row>
    <row r="1760" spans="2:14" ht="15.6" x14ac:dyDescent="0.3">
      <c r="B1760" s="32"/>
      <c r="C1760" s="32"/>
      <c r="M1760" s="25"/>
      <c r="N1760" s="25"/>
    </row>
    <row r="1761" spans="2:14" ht="15.6" x14ac:dyDescent="0.3">
      <c r="B1761" s="32"/>
      <c r="C1761" s="32"/>
      <c r="M1761" s="25"/>
      <c r="N1761" s="25"/>
    </row>
    <row r="1762" spans="2:14" ht="15.6" x14ac:dyDescent="0.3">
      <c r="B1762" s="32"/>
      <c r="C1762" s="32"/>
      <c r="M1762" s="25"/>
      <c r="N1762" s="25"/>
    </row>
    <row r="1763" spans="2:14" ht="15.6" x14ac:dyDescent="0.3">
      <c r="B1763" s="32"/>
      <c r="C1763" s="32"/>
      <c r="M1763" s="25"/>
      <c r="N1763" s="25"/>
    </row>
    <row r="1764" spans="2:14" ht="15.6" x14ac:dyDescent="0.3">
      <c r="B1764" s="32"/>
      <c r="C1764" s="32"/>
      <c r="M1764" s="25"/>
      <c r="N1764" s="25"/>
    </row>
    <row r="1765" spans="2:14" ht="15.6" x14ac:dyDescent="0.3">
      <c r="B1765" s="32"/>
      <c r="C1765" s="32"/>
      <c r="M1765" s="25"/>
      <c r="N1765" s="25"/>
    </row>
    <row r="1766" spans="2:14" ht="15.6" x14ac:dyDescent="0.3">
      <c r="B1766" s="32"/>
      <c r="C1766" s="32"/>
      <c r="M1766" s="25"/>
      <c r="N1766" s="25"/>
    </row>
    <row r="1767" spans="2:14" ht="15.6" x14ac:dyDescent="0.3">
      <c r="B1767" s="32"/>
      <c r="C1767" s="32"/>
      <c r="M1767" s="25"/>
      <c r="N1767" s="25"/>
    </row>
    <row r="1768" spans="2:14" ht="15.6" x14ac:dyDescent="0.3">
      <c r="B1768" s="32"/>
      <c r="C1768" s="32"/>
      <c r="M1768" s="25"/>
      <c r="N1768" s="25"/>
    </row>
    <row r="1769" spans="2:14" ht="15.6" x14ac:dyDescent="0.3">
      <c r="B1769" s="32"/>
      <c r="C1769" s="32"/>
      <c r="M1769" s="25"/>
      <c r="N1769" s="25"/>
    </row>
    <row r="1770" spans="2:14" ht="15.6" x14ac:dyDescent="0.3">
      <c r="B1770" s="32"/>
      <c r="C1770" s="32"/>
      <c r="M1770" s="25"/>
      <c r="N1770" s="25"/>
    </row>
    <row r="1771" spans="2:14" ht="15.6" x14ac:dyDescent="0.3">
      <c r="B1771" s="32"/>
      <c r="C1771" s="32"/>
      <c r="M1771" s="25"/>
      <c r="N1771" s="25"/>
    </row>
    <row r="1772" spans="2:14" ht="15.6" x14ac:dyDescent="0.3">
      <c r="B1772" s="32"/>
      <c r="C1772" s="32"/>
      <c r="M1772" s="25"/>
      <c r="N1772" s="25"/>
    </row>
    <row r="1773" spans="2:14" ht="15.6" x14ac:dyDescent="0.3">
      <c r="B1773" s="32"/>
      <c r="C1773" s="32"/>
      <c r="M1773" s="25"/>
      <c r="N1773" s="25"/>
    </row>
    <row r="1774" spans="2:14" ht="15.6" x14ac:dyDescent="0.3">
      <c r="B1774" s="32"/>
      <c r="C1774" s="32"/>
      <c r="M1774" s="25"/>
      <c r="N1774" s="25"/>
    </row>
    <row r="1775" spans="2:14" ht="15.6" x14ac:dyDescent="0.3">
      <c r="B1775" s="32"/>
      <c r="C1775" s="32"/>
      <c r="M1775" s="25"/>
      <c r="N1775" s="25"/>
    </row>
    <row r="1776" spans="2:14" ht="15.6" x14ac:dyDescent="0.3">
      <c r="B1776" s="32"/>
      <c r="C1776" s="32"/>
      <c r="M1776" s="25"/>
      <c r="N1776" s="25"/>
    </row>
    <row r="1777" spans="2:14" ht="15.6" x14ac:dyDescent="0.3">
      <c r="B1777" s="32"/>
      <c r="C1777" s="32"/>
      <c r="M1777" s="25"/>
      <c r="N1777" s="25"/>
    </row>
    <row r="1778" spans="2:14" ht="15.6" x14ac:dyDescent="0.3">
      <c r="B1778" s="32"/>
      <c r="C1778" s="32"/>
      <c r="M1778" s="25"/>
      <c r="N1778" s="25"/>
    </row>
    <row r="1779" spans="2:14" ht="15.6" x14ac:dyDescent="0.3">
      <c r="B1779" s="32"/>
      <c r="C1779" s="32"/>
      <c r="M1779" s="25"/>
      <c r="N1779" s="25"/>
    </row>
    <row r="1780" spans="2:14" ht="15.6" x14ac:dyDescent="0.3">
      <c r="B1780" s="32"/>
      <c r="C1780" s="32"/>
      <c r="M1780" s="25"/>
      <c r="N1780" s="25"/>
    </row>
    <row r="1781" spans="2:14" ht="15.6" x14ac:dyDescent="0.3">
      <c r="B1781" s="32"/>
      <c r="C1781" s="32"/>
      <c r="M1781" s="25"/>
      <c r="N1781" s="25"/>
    </row>
    <row r="1782" spans="2:14" ht="15.6" x14ac:dyDescent="0.3">
      <c r="B1782" s="32"/>
      <c r="C1782" s="32"/>
      <c r="M1782" s="25"/>
      <c r="N1782" s="25"/>
    </row>
    <row r="1783" spans="2:14" ht="15.6" x14ac:dyDescent="0.3">
      <c r="B1783" s="32"/>
      <c r="C1783" s="32"/>
      <c r="M1783" s="25"/>
      <c r="N1783" s="25"/>
    </row>
    <row r="1784" spans="2:14" ht="15.6" x14ac:dyDescent="0.3">
      <c r="B1784" s="32"/>
      <c r="C1784" s="32"/>
      <c r="M1784" s="25"/>
      <c r="N1784" s="25"/>
    </row>
    <row r="1785" spans="2:14" ht="15.6" x14ac:dyDescent="0.3">
      <c r="B1785" s="32"/>
      <c r="C1785" s="32"/>
      <c r="M1785" s="25"/>
      <c r="N1785" s="25"/>
    </row>
    <row r="1786" spans="2:14" ht="15.6" x14ac:dyDescent="0.3">
      <c r="B1786" s="32"/>
      <c r="C1786" s="32"/>
      <c r="M1786" s="25"/>
      <c r="N1786" s="25"/>
    </row>
    <row r="1787" spans="2:14" ht="15.6" x14ac:dyDescent="0.3">
      <c r="B1787" s="32"/>
      <c r="C1787" s="32"/>
      <c r="M1787" s="25"/>
      <c r="N1787" s="25"/>
    </row>
    <row r="1788" spans="2:14" ht="15.6" x14ac:dyDescent="0.3">
      <c r="B1788" s="32"/>
      <c r="C1788" s="32"/>
      <c r="M1788" s="25"/>
      <c r="N1788" s="25"/>
    </row>
    <row r="1789" spans="2:14" ht="15.6" x14ac:dyDescent="0.3">
      <c r="B1789" s="32"/>
      <c r="C1789" s="32"/>
      <c r="M1789" s="25"/>
      <c r="N1789" s="25"/>
    </row>
    <row r="1790" spans="2:14" ht="15.6" x14ac:dyDescent="0.3">
      <c r="B1790" s="32"/>
      <c r="C1790" s="32"/>
      <c r="M1790" s="25"/>
      <c r="N1790" s="25"/>
    </row>
    <row r="1791" spans="2:14" ht="15.6" x14ac:dyDescent="0.3">
      <c r="B1791" s="32"/>
      <c r="C1791" s="32"/>
      <c r="M1791" s="25"/>
      <c r="N1791" s="25"/>
    </row>
    <row r="1792" spans="2:14" ht="15.6" x14ac:dyDescent="0.3">
      <c r="B1792" s="32"/>
      <c r="C1792" s="32"/>
      <c r="M1792" s="25"/>
      <c r="N1792" s="25"/>
    </row>
    <row r="1793" spans="2:14" ht="15.6" x14ac:dyDescent="0.3">
      <c r="B1793" s="32"/>
      <c r="C1793" s="32"/>
      <c r="M1793" s="25"/>
      <c r="N1793" s="25"/>
    </row>
    <row r="1794" spans="2:14" ht="15.6" x14ac:dyDescent="0.3">
      <c r="B1794" s="32"/>
      <c r="C1794" s="32"/>
      <c r="M1794" s="25"/>
      <c r="N1794" s="25"/>
    </row>
    <row r="1795" spans="2:14" ht="15.6" x14ac:dyDescent="0.3">
      <c r="B1795" s="32"/>
      <c r="C1795" s="32"/>
      <c r="M1795" s="25"/>
      <c r="N1795" s="25"/>
    </row>
    <row r="1796" spans="2:14" ht="15.6" x14ac:dyDescent="0.3">
      <c r="B1796" s="32"/>
      <c r="C1796" s="32"/>
      <c r="M1796" s="25"/>
      <c r="N1796" s="25"/>
    </row>
    <row r="1797" spans="2:14" ht="15.6" x14ac:dyDescent="0.3">
      <c r="B1797" s="32"/>
      <c r="C1797" s="32"/>
      <c r="M1797" s="25"/>
      <c r="N1797" s="25"/>
    </row>
    <row r="1798" spans="2:14" ht="15.6" x14ac:dyDescent="0.3">
      <c r="B1798" s="32"/>
      <c r="C1798" s="32"/>
      <c r="M1798" s="25"/>
      <c r="N1798" s="25"/>
    </row>
    <row r="1799" spans="2:14" ht="15.6" x14ac:dyDescent="0.3">
      <c r="B1799" s="32"/>
      <c r="C1799" s="32"/>
      <c r="M1799" s="25"/>
      <c r="N1799" s="25"/>
    </row>
    <row r="1800" spans="2:14" ht="15.6" x14ac:dyDescent="0.3">
      <c r="B1800" s="32"/>
      <c r="C1800" s="32"/>
      <c r="M1800" s="25"/>
      <c r="N1800" s="25"/>
    </row>
    <row r="1801" spans="2:14" ht="15.6" x14ac:dyDescent="0.3">
      <c r="B1801" s="32"/>
      <c r="C1801" s="32"/>
      <c r="M1801" s="25"/>
      <c r="N1801" s="25"/>
    </row>
    <row r="1802" spans="2:14" ht="15.6" x14ac:dyDescent="0.3">
      <c r="B1802" s="32"/>
      <c r="C1802" s="32"/>
      <c r="M1802" s="25"/>
      <c r="N1802" s="25"/>
    </row>
    <row r="1803" spans="2:14" ht="15.6" x14ac:dyDescent="0.3">
      <c r="B1803" s="32"/>
      <c r="C1803" s="32"/>
      <c r="M1803" s="25"/>
      <c r="N1803" s="25"/>
    </row>
    <row r="1804" spans="2:14" ht="15.6" x14ac:dyDescent="0.3">
      <c r="B1804" s="32"/>
      <c r="C1804" s="32"/>
      <c r="M1804" s="25"/>
      <c r="N1804" s="25"/>
    </row>
    <row r="1805" spans="2:14" ht="15.6" x14ac:dyDescent="0.3">
      <c r="B1805" s="32"/>
      <c r="C1805" s="32"/>
      <c r="M1805" s="25"/>
      <c r="N1805" s="25"/>
    </row>
    <row r="1806" spans="2:14" ht="15.6" x14ac:dyDescent="0.3">
      <c r="B1806" s="32"/>
      <c r="C1806" s="32"/>
      <c r="M1806" s="25"/>
      <c r="N1806" s="25"/>
    </row>
    <row r="1807" spans="2:14" ht="15.6" x14ac:dyDescent="0.3">
      <c r="B1807" s="32"/>
      <c r="C1807" s="32"/>
      <c r="M1807" s="25"/>
      <c r="N1807" s="25"/>
    </row>
    <row r="1808" spans="2:14" ht="15.6" x14ac:dyDescent="0.3">
      <c r="B1808" s="32"/>
      <c r="C1808" s="32"/>
      <c r="M1808" s="25"/>
      <c r="N1808" s="25"/>
    </row>
    <row r="1809" spans="2:14" ht="15.6" x14ac:dyDescent="0.3">
      <c r="B1809" s="32"/>
      <c r="C1809" s="32"/>
      <c r="M1809" s="25"/>
      <c r="N1809" s="25"/>
    </row>
    <row r="1810" spans="2:14" ht="15.6" x14ac:dyDescent="0.3">
      <c r="B1810" s="32"/>
      <c r="C1810" s="32"/>
      <c r="M1810" s="25"/>
      <c r="N1810" s="25"/>
    </row>
    <row r="1811" spans="2:14" ht="15.6" x14ac:dyDescent="0.3">
      <c r="B1811" s="32"/>
      <c r="C1811" s="32"/>
      <c r="M1811" s="25"/>
      <c r="N1811" s="25"/>
    </row>
    <row r="1812" spans="2:14" ht="15.6" x14ac:dyDescent="0.3">
      <c r="B1812" s="32"/>
      <c r="C1812" s="32"/>
      <c r="M1812" s="25"/>
      <c r="N1812" s="25"/>
    </row>
    <row r="1813" spans="2:14" ht="15.6" x14ac:dyDescent="0.3">
      <c r="B1813" s="32"/>
      <c r="C1813" s="32"/>
      <c r="M1813" s="25"/>
      <c r="N1813" s="25"/>
    </row>
    <row r="1814" spans="2:14" ht="15.6" x14ac:dyDescent="0.3">
      <c r="B1814" s="32"/>
      <c r="C1814" s="32"/>
      <c r="M1814" s="25"/>
      <c r="N1814" s="25"/>
    </row>
    <row r="1815" spans="2:14" ht="15.6" x14ac:dyDescent="0.3">
      <c r="B1815" s="32"/>
      <c r="C1815" s="32"/>
      <c r="M1815" s="25"/>
      <c r="N1815" s="25"/>
    </row>
    <row r="1816" spans="2:14" ht="15.6" x14ac:dyDescent="0.3">
      <c r="B1816" s="32"/>
      <c r="C1816" s="32"/>
      <c r="M1816" s="25"/>
      <c r="N1816" s="25"/>
    </row>
    <row r="1817" spans="2:14" ht="15.6" x14ac:dyDescent="0.3">
      <c r="B1817" s="32"/>
      <c r="C1817" s="32"/>
      <c r="M1817" s="25"/>
      <c r="N1817" s="25"/>
    </row>
    <row r="1818" spans="2:14" ht="15.6" x14ac:dyDescent="0.3">
      <c r="B1818" s="32"/>
      <c r="C1818" s="32"/>
      <c r="M1818" s="25"/>
      <c r="N1818" s="25"/>
    </row>
    <row r="1819" spans="2:14" ht="15.6" x14ac:dyDescent="0.3">
      <c r="B1819" s="32"/>
      <c r="C1819" s="32"/>
      <c r="M1819" s="25"/>
      <c r="N1819" s="25"/>
    </row>
    <row r="1820" spans="2:14" ht="15.6" x14ac:dyDescent="0.3">
      <c r="B1820" s="32"/>
      <c r="C1820" s="32"/>
      <c r="M1820" s="25"/>
      <c r="N1820" s="25"/>
    </row>
    <row r="1821" spans="2:14" ht="15.6" x14ac:dyDescent="0.3">
      <c r="B1821" s="32"/>
      <c r="C1821" s="32"/>
      <c r="M1821" s="25"/>
      <c r="N1821" s="25"/>
    </row>
    <row r="1822" spans="2:14" ht="15.6" x14ac:dyDescent="0.3">
      <c r="B1822" s="32"/>
      <c r="C1822" s="32"/>
      <c r="M1822" s="25"/>
      <c r="N1822" s="25"/>
    </row>
    <row r="1823" spans="2:14" ht="15.6" x14ac:dyDescent="0.3">
      <c r="B1823" s="32"/>
      <c r="C1823" s="32"/>
      <c r="M1823" s="25"/>
      <c r="N1823" s="25"/>
    </row>
    <row r="1824" spans="2:14" ht="15.6" x14ac:dyDescent="0.3">
      <c r="B1824" s="32"/>
      <c r="C1824" s="32"/>
      <c r="M1824" s="25"/>
      <c r="N1824" s="25"/>
    </row>
    <row r="1825" spans="2:14" ht="15.6" x14ac:dyDescent="0.3">
      <c r="B1825" s="32"/>
      <c r="C1825" s="32"/>
      <c r="M1825" s="25"/>
      <c r="N1825" s="25"/>
    </row>
    <row r="1826" spans="2:14" ht="15.6" x14ac:dyDescent="0.3">
      <c r="B1826" s="32"/>
      <c r="C1826" s="32"/>
      <c r="M1826" s="25"/>
      <c r="N1826" s="25"/>
    </row>
    <row r="1827" spans="2:14" ht="15.6" x14ac:dyDescent="0.3">
      <c r="B1827" s="32"/>
      <c r="C1827" s="32"/>
      <c r="M1827" s="25"/>
      <c r="N1827" s="25"/>
    </row>
    <row r="1828" spans="2:14" ht="15.6" x14ac:dyDescent="0.3">
      <c r="B1828" s="32"/>
      <c r="C1828" s="32"/>
      <c r="M1828" s="25"/>
      <c r="N1828" s="25"/>
    </row>
    <row r="1829" spans="2:14" ht="15.6" x14ac:dyDescent="0.3">
      <c r="B1829" s="32"/>
      <c r="C1829" s="32"/>
      <c r="M1829" s="25"/>
      <c r="N1829" s="25"/>
    </row>
    <row r="1830" spans="2:14" ht="15.6" x14ac:dyDescent="0.3">
      <c r="B1830" s="32"/>
      <c r="C1830" s="32"/>
      <c r="M1830" s="25"/>
      <c r="N1830" s="25"/>
    </row>
    <row r="1831" spans="2:14" ht="15.6" x14ac:dyDescent="0.3">
      <c r="B1831" s="32"/>
      <c r="C1831" s="32"/>
      <c r="M1831" s="25"/>
      <c r="N1831" s="25"/>
    </row>
    <row r="1832" spans="2:14" ht="15.6" x14ac:dyDescent="0.3">
      <c r="B1832" s="32"/>
      <c r="C1832" s="32"/>
      <c r="M1832" s="25"/>
      <c r="N1832" s="25"/>
    </row>
    <row r="1833" spans="2:14" ht="15.6" x14ac:dyDescent="0.3">
      <c r="B1833" s="32"/>
      <c r="C1833" s="32"/>
      <c r="M1833" s="25"/>
      <c r="N1833" s="25"/>
    </row>
    <row r="1834" spans="2:14" ht="15.6" x14ac:dyDescent="0.3">
      <c r="B1834" s="32"/>
      <c r="C1834" s="32"/>
      <c r="M1834" s="25"/>
      <c r="N1834" s="25"/>
    </row>
    <row r="1835" spans="2:14" ht="15.6" x14ac:dyDescent="0.3">
      <c r="B1835" s="32"/>
      <c r="C1835" s="32"/>
      <c r="M1835" s="25"/>
      <c r="N1835" s="25"/>
    </row>
    <row r="1836" spans="2:14" ht="15.6" x14ac:dyDescent="0.3">
      <c r="B1836" s="32"/>
      <c r="C1836" s="32"/>
      <c r="M1836" s="25"/>
      <c r="N1836" s="25"/>
    </row>
    <row r="1837" spans="2:14" ht="15.6" x14ac:dyDescent="0.3">
      <c r="B1837" s="32"/>
      <c r="C1837" s="32"/>
      <c r="M1837" s="25"/>
      <c r="N1837" s="25"/>
    </row>
    <row r="1838" spans="2:14" ht="15.6" x14ac:dyDescent="0.3">
      <c r="B1838" s="32"/>
      <c r="C1838" s="32"/>
      <c r="M1838" s="25"/>
      <c r="N1838" s="25"/>
    </row>
    <row r="1839" spans="2:14" ht="15.6" x14ac:dyDescent="0.3">
      <c r="B1839" s="32"/>
      <c r="C1839" s="32"/>
      <c r="M1839" s="25"/>
      <c r="N1839" s="25"/>
    </row>
    <row r="1840" spans="2:14" ht="15.6" x14ac:dyDescent="0.3">
      <c r="B1840" s="32"/>
      <c r="C1840" s="32"/>
      <c r="M1840" s="25"/>
      <c r="N1840" s="25"/>
    </row>
    <row r="1841" spans="2:14" ht="15.6" x14ac:dyDescent="0.3">
      <c r="B1841" s="32"/>
      <c r="C1841" s="32"/>
      <c r="M1841" s="25"/>
      <c r="N1841" s="25"/>
    </row>
    <row r="1842" spans="2:14" ht="15.6" x14ac:dyDescent="0.3">
      <c r="B1842" s="32"/>
      <c r="C1842" s="32"/>
      <c r="M1842" s="25"/>
      <c r="N1842" s="25"/>
    </row>
    <row r="1843" spans="2:14" ht="15.6" x14ac:dyDescent="0.3">
      <c r="B1843" s="32"/>
      <c r="C1843" s="32"/>
      <c r="M1843" s="25"/>
      <c r="N1843" s="25"/>
    </row>
    <row r="1844" spans="2:14" ht="15.6" x14ac:dyDescent="0.3">
      <c r="B1844" s="32"/>
      <c r="C1844" s="32"/>
      <c r="M1844" s="25"/>
      <c r="N1844" s="25"/>
    </row>
    <row r="1845" spans="2:14" ht="15.6" x14ac:dyDescent="0.3">
      <c r="B1845" s="32"/>
      <c r="C1845" s="32"/>
      <c r="M1845" s="25"/>
      <c r="N1845" s="25"/>
    </row>
    <row r="1846" spans="2:14" ht="15.6" x14ac:dyDescent="0.3">
      <c r="B1846" s="32"/>
      <c r="C1846" s="32"/>
      <c r="M1846" s="25"/>
      <c r="N1846" s="25"/>
    </row>
    <row r="1847" spans="2:14" ht="15.6" x14ac:dyDescent="0.3">
      <c r="B1847" s="32"/>
      <c r="C1847" s="32"/>
      <c r="M1847" s="25"/>
      <c r="N1847" s="25"/>
    </row>
    <row r="1848" spans="2:14" ht="15.6" x14ac:dyDescent="0.3">
      <c r="B1848" s="32"/>
      <c r="C1848" s="32"/>
      <c r="M1848" s="25"/>
      <c r="N1848" s="25"/>
    </row>
    <row r="1849" spans="2:14" ht="15.6" x14ac:dyDescent="0.3">
      <c r="B1849" s="32"/>
      <c r="C1849" s="32"/>
      <c r="M1849" s="25"/>
      <c r="N1849" s="25"/>
    </row>
    <row r="1850" spans="2:14" ht="15.6" x14ac:dyDescent="0.3">
      <c r="B1850" s="32"/>
      <c r="C1850" s="32"/>
      <c r="M1850" s="25"/>
      <c r="N1850" s="25"/>
    </row>
    <row r="1851" spans="2:14" ht="15.6" x14ac:dyDescent="0.3">
      <c r="B1851" s="32"/>
      <c r="C1851" s="32"/>
      <c r="M1851" s="25"/>
      <c r="N1851" s="25"/>
    </row>
    <row r="1852" spans="2:14" ht="15.6" x14ac:dyDescent="0.3">
      <c r="B1852" s="32"/>
      <c r="C1852" s="32"/>
      <c r="M1852" s="25"/>
      <c r="N1852" s="25"/>
    </row>
    <row r="1853" spans="2:14" ht="15.6" x14ac:dyDescent="0.3">
      <c r="B1853" s="32"/>
      <c r="C1853" s="32"/>
      <c r="M1853" s="25"/>
      <c r="N1853" s="25"/>
    </row>
    <row r="1854" spans="2:14" ht="15.6" x14ac:dyDescent="0.3">
      <c r="B1854" s="32"/>
      <c r="C1854" s="32"/>
      <c r="M1854" s="25"/>
      <c r="N1854" s="25"/>
    </row>
    <row r="1855" spans="2:14" ht="15.6" x14ac:dyDescent="0.3">
      <c r="B1855" s="32"/>
      <c r="C1855" s="32"/>
      <c r="M1855" s="25"/>
      <c r="N1855" s="25"/>
    </row>
    <row r="1856" spans="2:14" ht="15.6" x14ac:dyDescent="0.3">
      <c r="B1856" s="32"/>
      <c r="C1856" s="32"/>
      <c r="M1856" s="25"/>
      <c r="N1856" s="25"/>
    </row>
    <row r="1857" spans="2:14" ht="15.6" x14ac:dyDescent="0.3">
      <c r="B1857" s="32"/>
      <c r="C1857" s="32"/>
      <c r="M1857" s="25"/>
      <c r="N1857" s="25"/>
    </row>
    <row r="1858" spans="2:14" ht="15.6" x14ac:dyDescent="0.3">
      <c r="B1858" s="32"/>
      <c r="C1858" s="32"/>
      <c r="M1858" s="25"/>
      <c r="N1858" s="25"/>
    </row>
    <row r="1859" spans="2:14" ht="15.6" x14ac:dyDescent="0.3">
      <c r="B1859" s="32"/>
      <c r="C1859" s="32"/>
      <c r="M1859" s="25"/>
      <c r="N1859" s="25"/>
    </row>
    <row r="1860" spans="2:14" ht="15.6" x14ac:dyDescent="0.3">
      <c r="B1860" s="32"/>
      <c r="C1860" s="32"/>
      <c r="M1860" s="25"/>
      <c r="N1860" s="25"/>
    </row>
    <row r="1861" spans="2:14" ht="15.6" x14ac:dyDescent="0.3">
      <c r="B1861" s="32"/>
      <c r="C1861" s="32"/>
      <c r="M1861" s="25"/>
      <c r="N1861" s="25"/>
    </row>
    <row r="1862" spans="2:14" ht="15.6" x14ac:dyDescent="0.3">
      <c r="B1862" s="32"/>
      <c r="C1862" s="32"/>
      <c r="M1862" s="25"/>
      <c r="N1862" s="25"/>
    </row>
    <row r="1863" spans="2:14" ht="15.6" x14ac:dyDescent="0.3">
      <c r="B1863" s="32"/>
      <c r="C1863" s="32"/>
      <c r="M1863" s="25"/>
      <c r="N1863" s="25"/>
    </row>
    <row r="1864" spans="2:14" ht="15.6" x14ac:dyDescent="0.3">
      <c r="B1864" s="32"/>
      <c r="C1864" s="32"/>
      <c r="M1864" s="25"/>
      <c r="N1864" s="25"/>
    </row>
    <row r="1865" spans="2:14" ht="15.6" x14ac:dyDescent="0.3">
      <c r="B1865" s="32"/>
      <c r="C1865" s="32"/>
      <c r="M1865" s="25"/>
      <c r="N1865" s="25"/>
    </row>
    <row r="1866" spans="2:14" ht="15.6" x14ac:dyDescent="0.3">
      <c r="B1866" s="32"/>
      <c r="C1866" s="32"/>
      <c r="M1866" s="25"/>
      <c r="N1866" s="25"/>
    </row>
    <row r="1867" spans="2:14" ht="15.6" x14ac:dyDescent="0.3">
      <c r="B1867" s="32"/>
      <c r="C1867" s="32"/>
      <c r="M1867" s="25"/>
      <c r="N1867" s="25"/>
    </row>
    <row r="1868" spans="2:14" ht="15.6" x14ac:dyDescent="0.3">
      <c r="B1868" s="32"/>
      <c r="C1868" s="32"/>
      <c r="M1868" s="25"/>
      <c r="N1868" s="25"/>
    </row>
    <row r="1869" spans="2:14" ht="15.6" x14ac:dyDescent="0.3">
      <c r="B1869" s="32"/>
      <c r="C1869" s="32"/>
      <c r="M1869" s="25"/>
      <c r="N1869" s="25"/>
    </row>
    <row r="1870" spans="2:14" ht="15.6" x14ac:dyDescent="0.3">
      <c r="B1870" s="32"/>
      <c r="C1870" s="32"/>
      <c r="M1870" s="25"/>
      <c r="N1870" s="25"/>
    </row>
    <row r="1871" spans="2:14" ht="15.6" x14ac:dyDescent="0.3">
      <c r="B1871" s="32"/>
      <c r="C1871" s="32"/>
      <c r="M1871" s="25"/>
      <c r="N1871" s="25"/>
    </row>
    <row r="1872" spans="2:14" ht="15.6" x14ac:dyDescent="0.3">
      <c r="B1872" s="32"/>
      <c r="C1872" s="32"/>
      <c r="M1872" s="25"/>
      <c r="N1872" s="25"/>
    </row>
    <row r="1873" spans="2:14" ht="15.6" x14ac:dyDescent="0.3">
      <c r="B1873" s="32"/>
      <c r="C1873" s="32"/>
      <c r="M1873" s="25"/>
      <c r="N1873" s="25"/>
    </row>
    <row r="1874" spans="2:14" ht="15.6" x14ac:dyDescent="0.3">
      <c r="B1874" s="32"/>
      <c r="C1874" s="32"/>
      <c r="M1874" s="25"/>
      <c r="N1874" s="25"/>
    </row>
    <row r="1875" spans="2:14" ht="15.6" x14ac:dyDescent="0.3">
      <c r="B1875" s="32"/>
      <c r="C1875" s="32"/>
      <c r="M1875" s="25"/>
      <c r="N1875" s="25"/>
    </row>
    <row r="1876" spans="2:14" ht="15.6" x14ac:dyDescent="0.3">
      <c r="B1876" s="32"/>
      <c r="C1876" s="32"/>
      <c r="M1876" s="25"/>
      <c r="N1876" s="25"/>
    </row>
    <row r="1877" spans="2:14" ht="15.6" x14ac:dyDescent="0.3">
      <c r="B1877" s="32"/>
      <c r="C1877" s="32"/>
      <c r="M1877" s="25"/>
      <c r="N1877" s="25"/>
    </row>
    <row r="1878" spans="2:14" ht="15.6" x14ac:dyDescent="0.3">
      <c r="B1878" s="32"/>
      <c r="C1878" s="32"/>
      <c r="M1878" s="25"/>
      <c r="N1878" s="25"/>
    </row>
    <row r="1879" spans="2:14" ht="15.6" x14ac:dyDescent="0.3">
      <c r="B1879" s="32"/>
      <c r="C1879" s="32"/>
      <c r="M1879" s="25"/>
      <c r="N1879" s="25"/>
    </row>
    <row r="1880" spans="2:14" ht="15.6" x14ac:dyDescent="0.3">
      <c r="B1880" s="32"/>
      <c r="C1880" s="32"/>
      <c r="M1880" s="25"/>
      <c r="N1880" s="25"/>
    </row>
    <row r="1881" spans="2:14" ht="15.6" x14ac:dyDescent="0.3">
      <c r="B1881" s="32"/>
      <c r="C1881" s="32"/>
      <c r="M1881" s="25"/>
      <c r="N1881" s="25"/>
    </row>
    <row r="1882" spans="2:14" ht="15.6" x14ac:dyDescent="0.3">
      <c r="B1882" s="32"/>
      <c r="C1882" s="32"/>
      <c r="M1882" s="25"/>
      <c r="N1882" s="25"/>
    </row>
    <row r="1883" spans="2:14" ht="15.6" x14ac:dyDescent="0.3">
      <c r="B1883" s="32"/>
      <c r="C1883" s="32"/>
      <c r="M1883" s="25"/>
      <c r="N1883" s="25"/>
    </row>
    <row r="1884" spans="2:14" ht="15.6" x14ac:dyDescent="0.3">
      <c r="B1884" s="32"/>
      <c r="C1884" s="32"/>
      <c r="M1884" s="25"/>
      <c r="N1884" s="25"/>
    </row>
    <row r="1885" spans="2:14" ht="15.6" x14ac:dyDescent="0.3">
      <c r="B1885" s="32"/>
      <c r="C1885" s="32"/>
      <c r="M1885" s="25"/>
      <c r="N1885" s="25"/>
    </row>
    <row r="1886" spans="2:14" ht="15.6" x14ac:dyDescent="0.3">
      <c r="B1886" s="32"/>
      <c r="C1886" s="32"/>
      <c r="M1886" s="25"/>
      <c r="N1886" s="25"/>
    </row>
    <row r="1887" spans="2:14" ht="15.6" x14ac:dyDescent="0.3">
      <c r="B1887" s="32"/>
      <c r="C1887" s="32"/>
      <c r="M1887" s="25"/>
      <c r="N1887" s="25"/>
    </row>
    <row r="1888" spans="2:14" ht="15.6" x14ac:dyDescent="0.3">
      <c r="B1888" s="32"/>
      <c r="C1888" s="32"/>
      <c r="M1888" s="25"/>
      <c r="N1888" s="25"/>
    </row>
    <row r="1889" spans="2:14" ht="15.6" x14ac:dyDescent="0.3">
      <c r="B1889" s="32"/>
      <c r="C1889" s="32"/>
      <c r="M1889" s="25"/>
      <c r="N1889" s="25"/>
    </row>
    <row r="1890" spans="2:14" ht="15.6" x14ac:dyDescent="0.3">
      <c r="B1890" s="32"/>
      <c r="C1890" s="32"/>
      <c r="M1890" s="25"/>
      <c r="N1890" s="25"/>
    </row>
    <row r="1891" spans="2:14" ht="15.6" x14ac:dyDescent="0.3">
      <c r="B1891" s="32"/>
      <c r="C1891" s="32"/>
      <c r="M1891" s="25"/>
      <c r="N1891" s="25"/>
    </row>
    <row r="1892" spans="2:14" ht="15.6" x14ac:dyDescent="0.3">
      <c r="B1892" s="32"/>
      <c r="C1892" s="32"/>
      <c r="M1892" s="25"/>
      <c r="N1892" s="25"/>
    </row>
    <row r="1893" spans="2:14" ht="15.6" x14ac:dyDescent="0.3">
      <c r="B1893" s="32"/>
      <c r="C1893" s="32"/>
      <c r="M1893" s="25"/>
      <c r="N1893" s="25"/>
    </row>
    <row r="1894" spans="2:14" ht="15.6" x14ac:dyDescent="0.3">
      <c r="B1894" s="32"/>
      <c r="C1894" s="32"/>
      <c r="M1894" s="25"/>
      <c r="N1894" s="25"/>
    </row>
    <row r="1895" spans="2:14" ht="15.6" x14ac:dyDescent="0.3">
      <c r="B1895" s="32"/>
      <c r="C1895" s="32"/>
      <c r="M1895" s="25"/>
      <c r="N1895" s="25"/>
    </row>
    <row r="1896" spans="2:14" ht="15.6" x14ac:dyDescent="0.3">
      <c r="B1896" s="32"/>
      <c r="C1896" s="32"/>
      <c r="M1896" s="25"/>
      <c r="N1896" s="25"/>
    </row>
    <row r="1897" spans="2:14" ht="15.6" x14ac:dyDescent="0.3">
      <c r="B1897" s="32"/>
      <c r="C1897" s="32"/>
      <c r="M1897" s="25"/>
      <c r="N1897" s="25"/>
    </row>
    <row r="1898" spans="2:14" ht="15.6" x14ac:dyDescent="0.3">
      <c r="B1898" s="32"/>
      <c r="C1898" s="32"/>
      <c r="M1898" s="25"/>
      <c r="N1898" s="25"/>
    </row>
    <row r="1899" spans="2:14" ht="15.6" x14ac:dyDescent="0.3">
      <c r="B1899" s="32"/>
      <c r="C1899" s="32"/>
      <c r="M1899" s="25"/>
      <c r="N1899" s="25"/>
    </row>
    <row r="1900" spans="2:14" ht="15.6" x14ac:dyDescent="0.3">
      <c r="B1900" s="32"/>
      <c r="C1900" s="32"/>
      <c r="M1900" s="25"/>
      <c r="N1900" s="25"/>
    </row>
    <row r="1901" spans="2:14" ht="15.6" x14ac:dyDescent="0.3">
      <c r="B1901" s="32"/>
      <c r="C1901" s="32"/>
      <c r="M1901" s="25"/>
      <c r="N1901" s="25"/>
    </row>
    <row r="1902" spans="2:14" ht="15.6" x14ac:dyDescent="0.3">
      <c r="B1902" s="32"/>
      <c r="C1902" s="32"/>
      <c r="M1902" s="25"/>
      <c r="N1902" s="25"/>
    </row>
    <row r="1903" spans="2:14" ht="15.6" x14ac:dyDescent="0.3">
      <c r="B1903" s="32"/>
      <c r="C1903" s="32"/>
      <c r="M1903" s="25"/>
      <c r="N1903" s="25"/>
    </row>
    <row r="1904" spans="2:14" ht="15.6" x14ac:dyDescent="0.3">
      <c r="B1904" s="32"/>
      <c r="C1904" s="32"/>
      <c r="M1904" s="25"/>
      <c r="N1904" s="25"/>
    </row>
    <row r="1905" spans="2:14" ht="15.6" x14ac:dyDescent="0.3">
      <c r="B1905" s="32"/>
      <c r="C1905" s="32"/>
      <c r="M1905" s="25"/>
      <c r="N1905" s="25"/>
    </row>
    <row r="1906" spans="2:14" ht="15.6" x14ac:dyDescent="0.3">
      <c r="B1906" s="32"/>
      <c r="C1906" s="32"/>
      <c r="M1906" s="25"/>
      <c r="N1906" s="25"/>
    </row>
    <row r="1907" spans="2:14" ht="15.6" x14ac:dyDescent="0.3">
      <c r="B1907" s="32"/>
      <c r="C1907" s="32"/>
      <c r="M1907" s="25"/>
      <c r="N1907" s="25"/>
    </row>
    <row r="1908" spans="2:14" ht="15.6" x14ac:dyDescent="0.3">
      <c r="B1908" s="32"/>
      <c r="C1908" s="32"/>
      <c r="M1908" s="25"/>
      <c r="N1908" s="25"/>
    </row>
    <row r="1909" spans="2:14" ht="15.6" x14ac:dyDescent="0.3">
      <c r="B1909" s="32"/>
      <c r="C1909" s="32"/>
      <c r="M1909" s="25"/>
      <c r="N1909" s="25"/>
    </row>
    <row r="1910" spans="2:14" ht="15.6" x14ac:dyDescent="0.3">
      <c r="B1910" s="32"/>
      <c r="C1910" s="32"/>
      <c r="M1910" s="25"/>
      <c r="N1910" s="25"/>
    </row>
    <row r="1911" spans="2:14" ht="15.6" x14ac:dyDescent="0.3">
      <c r="B1911" s="32"/>
      <c r="C1911" s="32"/>
      <c r="M1911" s="25"/>
      <c r="N1911" s="25"/>
    </row>
    <row r="1912" spans="2:14" ht="15.6" x14ac:dyDescent="0.3">
      <c r="B1912" s="32"/>
      <c r="C1912" s="32"/>
      <c r="M1912" s="25"/>
      <c r="N1912" s="25"/>
    </row>
    <row r="1913" spans="2:14" ht="15.6" x14ac:dyDescent="0.3">
      <c r="B1913" s="32"/>
      <c r="C1913" s="32"/>
      <c r="M1913" s="25"/>
      <c r="N1913" s="25"/>
    </row>
    <row r="1914" spans="2:14" ht="15.6" x14ac:dyDescent="0.3">
      <c r="B1914" s="32"/>
      <c r="C1914" s="32"/>
      <c r="M1914" s="25"/>
      <c r="N1914" s="25"/>
    </row>
    <row r="1915" spans="2:14" ht="15.6" x14ac:dyDescent="0.3">
      <c r="B1915" s="32"/>
      <c r="C1915" s="32"/>
      <c r="M1915" s="25"/>
      <c r="N1915" s="25"/>
    </row>
    <row r="1916" spans="2:14" ht="15.6" x14ac:dyDescent="0.3">
      <c r="B1916" s="32"/>
      <c r="C1916" s="32"/>
      <c r="M1916" s="25"/>
      <c r="N1916" s="25"/>
    </row>
    <row r="1917" spans="2:14" ht="15.6" x14ac:dyDescent="0.3">
      <c r="B1917" s="32"/>
      <c r="C1917" s="32"/>
      <c r="M1917" s="25"/>
      <c r="N1917" s="25"/>
    </row>
    <row r="1918" spans="2:14" ht="15.6" x14ac:dyDescent="0.3">
      <c r="B1918" s="32"/>
      <c r="C1918" s="32"/>
      <c r="M1918" s="25"/>
      <c r="N1918" s="25"/>
    </row>
    <row r="1919" spans="2:14" ht="15.6" x14ac:dyDescent="0.3">
      <c r="B1919" s="32"/>
      <c r="C1919" s="32"/>
      <c r="M1919" s="25"/>
      <c r="N1919" s="25"/>
    </row>
    <row r="1920" spans="2:14" ht="15.6" x14ac:dyDescent="0.3">
      <c r="B1920" s="32"/>
      <c r="C1920" s="32"/>
      <c r="M1920" s="25"/>
      <c r="N1920" s="25"/>
    </row>
    <row r="1921" spans="2:14" ht="15.6" x14ac:dyDescent="0.3">
      <c r="B1921" s="32"/>
      <c r="C1921" s="32"/>
      <c r="M1921" s="25"/>
      <c r="N1921" s="25"/>
    </row>
    <row r="1922" spans="2:14" ht="15.6" x14ac:dyDescent="0.3">
      <c r="B1922" s="32"/>
      <c r="C1922" s="32"/>
      <c r="M1922" s="25"/>
      <c r="N1922" s="25"/>
    </row>
    <row r="1923" spans="2:14" ht="15.6" x14ac:dyDescent="0.3">
      <c r="B1923" s="32"/>
      <c r="C1923" s="32"/>
      <c r="M1923" s="25"/>
      <c r="N1923" s="25"/>
    </row>
    <row r="1924" spans="2:14" ht="15.6" x14ac:dyDescent="0.3">
      <c r="B1924" s="32"/>
      <c r="C1924" s="32"/>
      <c r="M1924" s="25"/>
      <c r="N1924" s="25"/>
    </row>
    <row r="1925" spans="2:14" ht="15.6" x14ac:dyDescent="0.3">
      <c r="B1925" s="32"/>
      <c r="C1925" s="32"/>
      <c r="M1925" s="25"/>
      <c r="N1925" s="25"/>
    </row>
    <row r="1926" spans="2:14" ht="15.6" x14ac:dyDescent="0.3">
      <c r="B1926" s="32"/>
      <c r="C1926" s="32"/>
      <c r="M1926" s="25"/>
      <c r="N1926" s="25"/>
    </row>
    <row r="1927" spans="2:14" ht="15.6" x14ac:dyDescent="0.3">
      <c r="B1927" s="32"/>
      <c r="C1927" s="32"/>
      <c r="M1927" s="25"/>
      <c r="N1927" s="25"/>
    </row>
    <row r="1928" spans="2:14" ht="15.6" x14ac:dyDescent="0.3">
      <c r="B1928" s="32"/>
      <c r="C1928" s="32"/>
      <c r="M1928" s="25"/>
      <c r="N1928" s="25"/>
    </row>
    <row r="1929" spans="2:14" ht="15.6" x14ac:dyDescent="0.3">
      <c r="B1929" s="32"/>
      <c r="C1929" s="32"/>
      <c r="M1929" s="25"/>
      <c r="N1929" s="25"/>
    </row>
    <row r="1930" spans="2:14" ht="15.6" x14ac:dyDescent="0.3">
      <c r="B1930" s="32"/>
      <c r="C1930" s="32"/>
      <c r="M1930" s="25"/>
      <c r="N1930" s="25"/>
    </row>
    <row r="1931" spans="2:14" ht="15.6" x14ac:dyDescent="0.3">
      <c r="B1931" s="32"/>
      <c r="C1931" s="32"/>
      <c r="M1931" s="25"/>
      <c r="N1931" s="25"/>
    </row>
    <row r="1932" spans="2:14" ht="15.6" x14ac:dyDescent="0.3">
      <c r="B1932" s="32"/>
      <c r="C1932" s="32"/>
      <c r="M1932" s="25"/>
      <c r="N1932" s="25"/>
    </row>
    <row r="1933" spans="2:14" ht="15.6" x14ac:dyDescent="0.3">
      <c r="B1933" s="32"/>
      <c r="C1933" s="32"/>
      <c r="M1933" s="25"/>
      <c r="N1933" s="25"/>
    </row>
    <row r="1934" spans="2:14" ht="15.6" x14ac:dyDescent="0.3">
      <c r="B1934" s="32"/>
      <c r="C1934" s="32"/>
      <c r="M1934" s="25"/>
      <c r="N1934" s="25"/>
    </row>
    <row r="1935" spans="2:14" ht="15.6" x14ac:dyDescent="0.3">
      <c r="B1935" s="32"/>
      <c r="C1935" s="32"/>
      <c r="M1935" s="25"/>
      <c r="N1935" s="25"/>
    </row>
    <row r="1936" spans="2:14" ht="15.6" x14ac:dyDescent="0.3">
      <c r="B1936" s="32"/>
      <c r="C1936" s="32"/>
      <c r="M1936" s="25"/>
      <c r="N1936" s="25"/>
    </row>
    <row r="1937" spans="2:14" ht="15.6" x14ac:dyDescent="0.3">
      <c r="B1937" s="32"/>
      <c r="C1937" s="32"/>
      <c r="M1937" s="25"/>
      <c r="N1937" s="25"/>
    </row>
    <row r="1938" spans="2:14" ht="15.6" x14ac:dyDescent="0.3">
      <c r="B1938" s="32"/>
      <c r="C1938" s="32"/>
      <c r="M1938" s="25"/>
      <c r="N1938" s="25"/>
    </row>
    <row r="1939" spans="2:14" ht="15.6" x14ac:dyDescent="0.3">
      <c r="B1939" s="32"/>
      <c r="C1939" s="32"/>
      <c r="M1939" s="25"/>
      <c r="N1939" s="25"/>
    </row>
    <row r="1940" spans="2:14" ht="15.6" x14ac:dyDescent="0.3">
      <c r="B1940" s="32"/>
      <c r="C1940" s="32"/>
      <c r="M1940" s="25"/>
      <c r="N1940" s="25"/>
    </row>
    <row r="1941" spans="2:14" ht="15.6" x14ac:dyDescent="0.3">
      <c r="B1941" s="32"/>
      <c r="C1941" s="32"/>
      <c r="M1941" s="25"/>
      <c r="N1941" s="25"/>
    </row>
    <row r="1942" spans="2:14" ht="15.6" x14ac:dyDescent="0.3">
      <c r="B1942" s="32"/>
      <c r="C1942" s="32"/>
      <c r="M1942" s="25"/>
      <c r="N1942" s="25"/>
    </row>
    <row r="1943" spans="2:14" ht="15.6" x14ac:dyDescent="0.3">
      <c r="B1943" s="32"/>
      <c r="C1943" s="32"/>
      <c r="M1943" s="25"/>
      <c r="N1943" s="25"/>
    </row>
    <row r="1944" spans="2:14" ht="15.6" x14ac:dyDescent="0.3">
      <c r="B1944" s="32"/>
      <c r="C1944" s="32"/>
      <c r="M1944" s="25"/>
      <c r="N1944" s="25"/>
    </row>
    <row r="1945" spans="2:14" ht="15.6" x14ac:dyDescent="0.3">
      <c r="B1945" s="32"/>
      <c r="C1945" s="32"/>
      <c r="M1945" s="25"/>
      <c r="N1945" s="25"/>
    </row>
    <row r="1946" spans="2:14" ht="15.6" x14ac:dyDescent="0.3">
      <c r="B1946" s="32"/>
      <c r="C1946" s="32"/>
      <c r="M1946" s="25"/>
      <c r="N1946" s="25"/>
    </row>
    <row r="1947" spans="2:14" ht="15.6" x14ac:dyDescent="0.3">
      <c r="B1947" s="32"/>
      <c r="C1947" s="32"/>
      <c r="M1947" s="25"/>
      <c r="N1947" s="25"/>
    </row>
    <row r="1948" spans="2:14" ht="15.6" x14ac:dyDescent="0.3">
      <c r="B1948" s="32"/>
      <c r="C1948" s="32"/>
      <c r="M1948" s="25"/>
      <c r="N1948" s="25"/>
    </row>
    <row r="1949" spans="2:14" ht="15.6" x14ac:dyDescent="0.3">
      <c r="B1949" s="32"/>
      <c r="C1949" s="32"/>
      <c r="M1949" s="25"/>
      <c r="N1949" s="25"/>
    </row>
    <row r="1950" spans="2:14" ht="15.6" x14ac:dyDescent="0.3">
      <c r="B1950" s="32"/>
      <c r="C1950" s="32"/>
      <c r="M1950" s="25"/>
      <c r="N1950" s="25"/>
    </row>
    <row r="1951" spans="2:14" ht="15.6" x14ac:dyDescent="0.3">
      <c r="B1951" s="32"/>
      <c r="C1951" s="32"/>
      <c r="M1951" s="25"/>
      <c r="N1951" s="25"/>
    </row>
    <row r="1952" spans="2:14" ht="15.6" x14ac:dyDescent="0.3">
      <c r="B1952" s="32"/>
      <c r="C1952" s="32"/>
      <c r="M1952" s="25"/>
      <c r="N1952" s="25"/>
    </row>
    <row r="1953" spans="2:14" ht="15.6" x14ac:dyDescent="0.3">
      <c r="B1953" s="32"/>
      <c r="C1953" s="32"/>
      <c r="M1953" s="25"/>
      <c r="N1953" s="25"/>
    </row>
    <row r="1954" spans="2:14" ht="15.6" x14ac:dyDescent="0.3">
      <c r="B1954" s="32"/>
      <c r="C1954" s="32"/>
      <c r="M1954" s="25"/>
      <c r="N1954" s="25"/>
    </row>
    <row r="1955" spans="2:14" ht="15.6" x14ac:dyDescent="0.3">
      <c r="B1955" s="32"/>
      <c r="C1955" s="32"/>
      <c r="M1955" s="25"/>
      <c r="N1955" s="25"/>
    </row>
    <row r="1956" spans="2:14" ht="15.6" x14ac:dyDescent="0.3">
      <c r="B1956" s="32"/>
      <c r="C1956" s="32"/>
      <c r="M1956" s="25"/>
      <c r="N1956" s="25"/>
    </row>
    <row r="1957" spans="2:14" ht="15.6" x14ac:dyDescent="0.3">
      <c r="B1957" s="32"/>
      <c r="C1957" s="32"/>
      <c r="M1957" s="25"/>
      <c r="N1957" s="25"/>
    </row>
    <row r="1958" spans="2:14" ht="15.6" x14ac:dyDescent="0.3">
      <c r="B1958" s="32"/>
      <c r="C1958" s="32"/>
      <c r="M1958" s="25"/>
      <c r="N1958" s="25"/>
    </row>
    <row r="1959" spans="2:14" ht="15.6" x14ac:dyDescent="0.3">
      <c r="B1959" s="32"/>
      <c r="C1959" s="32"/>
      <c r="M1959" s="25"/>
      <c r="N1959" s="25"/>
    </row>
    <row r="1960" spans="2:14" ht="15.6" x14ac:dyDescent="0.3">
      <c r="B1960" s="32"/>
      <c r="C1960" s="32"/>
      <c r="M1960" s="25"/>
      <c r="N1960" s="25"/>
    </row>
    <row r="1961" spans="2:14" ht="15.6" x14ac:dyDescent="0.3">
      <c r="B1961" s="32"/>
      <c r="C1961" s="32"/>
      <c r="M1961" s="25"/>
      <c r="N1961" s="25"/>
    </row>
    <row r="1962" spans="2:14" ht="15.6" x14ac:dyDescent="0.3">
      <c r="B1962" s="32"/>
      <c r="C1962" s="32"/>
      <c r="M1962" s="25"/>
      <c r="N1962" s="25"/>
    </row>
    <row r="1963" spans="2:14" ht="15.6" x14ac:dyDescent="0.3">
      <c r="B1963" s="32"/>
      <c r="C1963" s="32"/>
      <c r="M1963" s="25"/>
      <c r="N1963" s="25"/>
    </row>
    <row r="1964" spans="2:14" ht="15.6" x14ac:dyDescent="0.3">
      <c r="B1964" s="32"/>
      <c r="C1964" s="32"/>
      <c r="M1964" s="25"/>
      <c r="N1964" s="25"/>
    </row>
    <row r="1965" spans="2:14" ht="15.6" x14ac:dyDescent="0.3">
      <c r="B1965" s="32"/>
      <c r="C1965" s="32"/>
      <c r="M1965" s="25"/>
      <c r="N1965" s="25"/>
    </row>
    <row r="1966" spans="2:14" ht="15.6" x14ac:dyDescent="0.3">
      <c r="B1966" s="32"/>
      <c r="C1966" s="32"/>
      <c r="M1966" s="25"/>
      <c r="N1966" s="25"/>
    </row>
    <row r="1967" spans="2:14" ht="15.6" x14ac:dyDescent="0.3">
      <c r="B1967" s="32"/>
      <c r="C1967" s="32"/>
      <c r="M1967" s="25"/>
      <c r="N1967" s="25"/>
    </row>
    <row r="1968" spans="2:14" ht="15.6" x14ac:dyDescent="0.3">
      <c r="B1968" s="32"/>
      <c r="C1968" s="32"/>
      <c r="M1968" s="25"/>
      <c r="N1968" s="25"/>
    </row>
    <row r="1969" spans="2:14" ht="15.6" x14ac:dyDescent="0.3">
      <c r="B1969" s="32"/>
      <c r="C1969" s="32"/>
      <c r="M1969" s="25"/>
      <c r="N1969" s="25"/>
    </row>
    <row r="1970" spans="2:14" ht="15.6" x14ac:dyDescent="0.3">
      <c r="B1970" s="32"/>
      <c r="C1970" s="32"/>
      <c r="M1970" s="25"/>
      <c r="N1970" s="25"/>
    </row>
    <row r="1971" spans="2:14" ht="15.6" x14ac:dyDescent="0.3">
      <c r="B1971" s="32"/>
      <c r="C1971" s="32"/>
      <c r="M1971" s="25"/>
      <c r="N1971" s="25"/>
    </row>
    <row r="1972" spans="2:14" ht="15.6" x14ac:dyDescent="0.3">
      <c r="B1972" s="32"/>
      <c r="C1972" s="32"/>
      <c r="M1972" s="25"/>
      <c r="N1972" s="25"/>
    </row>
    <row r="1973" spans="2:14" ht="15.6" x14ac:dyDescent="0.3">
      <c r="B1973" s="32"/>
      <c r="C1973" s="32"/>
      <c r="M1973" s="25"/>
      <c r="N1973" s="25"/>
    </row>
    <row r="1974" spans="2:14" ht="15.6" x14ac:dyDescent="0.3">
      <c r="B1974" s="32"/>
      <c r="C1974" s="32"/>
      <c r="M1974" s="25"/>
      <c r="N1974" s="25"/>
    </row>
    <row r="1975" spans="2:14" ht="15.6" x14ac:dyDescent="0.3">
      <c r="B1975" s="32"/>
      <c r="C1975" s="32"/>
      <c r="M1975" s="25"/>
      <c r="N1975" s="25"/>
    </row>
    <row r="1976" spans="2:14" ht="15.6" x14ac:dyDescent="0.3">
      <c r="B1976" s="32"/>
      <c r="C1976" s="32"/>
      <c r="M1976" s="25"/>
      <c r="N1976" s="25"/>
    </row>
    <row r="1977" spans="2:14" ht="15.6" x14ac:dyDescent="0.3">
      <c r="B1977" s="32"/>
      <c r="C1977" s="32"/>
      <c r="M1977" s="25"/>
      <c r="N1977" s="25"/>
    </row>
    <row r="1978" spans="2:14" ht="15.6" x14ac:dyDescent="0.3">
      <c r="B1978" s="32"/>
      <c r="C1978" s="32"/>
      <c r="M1978" s="25"/>
      <c r="N1978" s="25"/>
    </row>
    <row r="1979" spans="2:14" ht="15.6" x14ac:dyDescent="0.3">
      <c r="B1979" s="32"/>
      <c r="C1979" s="32"/>
      <c r="M1979" s="25"/>
      <c r="N1979" s="25"/>
    </row>
    <row r="1980" spans="2:14" ht="15.6" x14ac:dyDescent="0.3">
      <c r="B1980" s="32"/>
      <c r="C1980" s="32"/>
      <c r="M1980" s="25"/>
      <c r="N1980" s="25"/>
    </row>
    <row r="1981" spans="2:14" ht="15.6" x14ac:dyDescent="0.3">
      <c r="B1981" s="32"/>
      <c r="C1981" s="32"/>
      <c r="M1981" s="25"/>
      <c r="N1981" s="25"/>
    </row>
    <row r="1982" spans="2:14" ht="15.6" x14ac:dyDescent="0.3">
      <c r="B1982" s="32"/>
      <c r="C1982" s="32"/>
      <c r="M1982" s="25"/>
      <c r="N1982" s="25"/>
    </row>
    <row r="1983" spans="2:14" ht="15.6" x14ac:dyDescent="0.3">
      <c r="B1983" s="32"/>
      <c r="C1983" s="32"/>
      <c r="M1983" s="25"/>
      <c r="N1983" s="25"/>
    </row>
    <row r="1984" spans="2:14" ht="15.6" x14ac:dyDescent="0.3">
      <c r="B1984" s="32"/>
      <c r="C1984" s="32"/>
      <c r="M1984" s="25"/>
      <c r="N1984" s="25"/>
    </row>
    <row r="1985" spans="2:14" ht="15.6" x14ac:dyDescent="0.3">
      <c r="B1985" s="32"/>
      <c r="C1985" s="32"/>
      <c r="M1985" s="25"/>
      <c r="N1985" s="25"/>
    </row>
    <row r="1986" spans="2:14" ht="15.6" x14ac:dyDescent="0.3">
      <c r="B1986" s="32"/>
      <c r="C1986" s="32"/>
      <c r="M1986" s="25"/>
      <c r="N1986" s="25"/>
    </row>
    <row r="1987" spans="2:14" ht="15.6" x14ac:dyDescent="0.3">
      <c r="B1987" s="32"/>
      <c r="C1987" s="32"/>
      <c r="M1987" s="25"/>
      <c r="N1987" s="25"/>
    </row>
    <row r="1988" spans="2:14" ht="15.6" x14ac:dyDescent="0.3">
      <c r="B1988" s="32"/>
      <c r="C1988" s="32"/>
      <c r="M1988" s="25"/>
      <c r="N1988" s="25"/>
    </row>
    <row r="1989" spans="2:14" ht="15.6" x14ac:dyDescent="0.3">
      <c r="B1989" s="32"/>
      <c r="C1989" s="32"/>
      <c r="M1989" s="25"/>
      <c r="N1989" s="25"/>
    </row>
    <row r="1990" spans="2:14" ht="15.6" x14ac:dyDescent="0.3">
      <c r="B1990" s="32"/>
      <c r="C1990" s="32"/>
      <c r="M1990" s="25"/>
      <c r="N1990" s="25"/>
    </row>
    <row r="1991" spans="2:14" ht="15.6" x14ac:dyDescent="0.3">
      <c r="B1991" s="32"/>
      <c r="C1991" s="32"/>
      <c r="M1991" s="25"/>
      <c r="N1991" s="25"/>
    </row>
    <row r="1992" spans="2:14" ht="15.6" x14ac:dyDescent="0.3">
      <c r="B1992" s="32"/>
      <c r="C1992" s="32"/>
      <c r="M1992" s="25"/>
      <c r="N1992" s="25"/>
    </row>
    <row r="1993" spans="2:14" ht="15.6" x14ac:dyDescent="0.3">
      <c r="B1993" s="32"/>
      <c r="C1993" s="32"/>
      <c r="M1993" s="25"/>
      <c r="N1993" s="25"/>
    </row>
    <row r="1994" spans="2:14" ht="15.6" x14ac:dyDescent="0.3">
      <c r="B1994" s="32"/>
      <c r="C1994" s="32"/>
      <c r="M1994" s="25"/>
      <c r="N1994" s="25"/>
    </row>
    <row r="1995" spans="2:14" ht="15.6" x14ac:dyDescent="0.3">
      <c r="B1995" s="32"/>
      <c r="C1995" s="32"/>
      <c r="M1995" s="25"/>
      <c r="N1995" s="25"/>
    </row>
    <row r="1996" spans="2:14" ht="15.6" x14ac:dyDescent="0.3">
      <c r="B1996" s="32"/>
      <c r="C1996" s="32"/>
      <c r="M1996" s="25"/>
      <c r="N1996" s="25"/>
    </row>
    <row r="1997" spans="2:14" ht="15.6" x14ac:dyDescent="0.3">
      <c r="B1997" s="32"/>
      <c r="C1997" s="32"/>
      <c r="M1997" s="25"/>
      <c r="N1997" s="25"/>
    </row>
    <row r="1998" spans="2:14" ht="15.6" x14ac:dyDescent="0.3">
      <c r="B1998" s="32"/>
      <c r="C1998" s="32"/>
      <c r="M1998" s="25"/>
      <c r="N1998" s="25"/>
    </row>
    <row r="1999" spans="2:14" ht="15.6" x14ac:dyDescent="0.3">
      <c r="B1999" s="32"/>
      <c r="C1999" s="32"/>
      <c r="M1999" s="25"/>
      <c r="N1999" s="25"/>
    </row>
    <row r="2000" spans="2:14" ht="15.6" x14ac:dyDescent="0.3">
      <c r="B2000" s="32"/>
      <c r="C2000" s="32"/>
      <c r="M2000" s="25"/>
      <c r="N2000" s="25"/>
    </row>
    <row r="2001" spans="2:14" ht="15.6" x14ac:dyDescent="0.3">
      <c r="B2001" s="32"/>
      <c r="C2001" s="32"/>
      <c r="M2001" s="25"/>
      <c r="N2001" s="25"/>
    </row>
    <row r="2002" spans="2:14" ht="15.6" x14ac:dyDescent="0.3">
      <c r="B2002" s="32"/>
      <c r="C2002" s="32"/>
      <c r="M2002" s="25"/>
      <c r="N2002" s="25"/>
    </row>
    <row r="2003" spans="2:14" ht="15.6" x14ac:dyDescent="0.3">
      <c r="B2003" s="32"/>
      <c r="C2003" s="32"/>
      <c r="M2003" s="25"/>
      <c r="N2003" s="25"/>
    </row>
    <row r="2004" spans="2:14" ht="15.6" x14ac:dyDescent="0.3">
      <c r="B2004" s="32"/>
      <c r="C2004" s="32"/>
      <c r="M2004" s="25"/>
      <c r="N2004" s="25"/>
    </row>
    <row r="2005" spans="2:14" ht="15.6" x14ac:dyDescent="0.3">
      <c r="B2005" s="32"/>
      <c r="C2005" s="32"/>
      <c r="M2005" s="25"/>
      <c r="N2005" s="25"/>
    </row>
    <row r="2006" spans="2:14" ht="15.6" x14ac:dyDescent="0.3">
      <c r="B2006" s="32"/>
      <c r="C2006" s="32"/>
      <c r="M2006" s="25"/>
      <c r="N2006" s="25"/>
    </row>
    <row r="2007" spans="2:14" ht="15.6" x14ac:dyDescent="0.3">
      <c r="B2007" s="32"/>
      <c r="C2007" s="32"/>
      <c r="M2007" s="25"/>
      <c r="N2007" s="25"/>
    </row>
    <row r="2008" spans="2:14" ht="15.6" x14ac:dyDescent="0.3">
      <c r="B2008" s="32"/>
      <c r="C2008" s="32"/>
      <c r="M2008" s="25"/>
      <c r="N2008" s="25"/>
    </row>
    <row r="2009" spans="2:14" ht="15.6" x14ac:dyDescent="0.3">
      <c r="B2009" s="32"/>
      <c r="C2009" s="32"/>
      <c r="M2009" s="25"/>
      <c r="N2009" s="25"/>
    </row>
    <row r="2010" spans="2:14" ht="15.6" x14ac:dyDescent="0.3">
      <c r="B2010" s="32"/>
      <c r="C2010" s="32"/>
      <c r="M2010" s="25"/>
      <c r="N2010" s="25"/>
    </row>
    <row r="2011" spans="2:14" ht="15.6" x14ac:dyDescent="0.3">
      <c r="B2011" s="32"/>
      <c r="C2011" s="32"/>
      <c r="M2011" s="25"/>
      <c r="N2011" s="25"/>
    </row>
    <row r="2012" spans="2:14" ht="15.6" x14ac:dyDescent="0.3">
      <c r="B2012" s="32"/>
      <c r="C2012" s="32"/>
      <c r="M2012" s="25"/>
      <c r="N2012" s="25"/>
    </row>
    <row r="2013" spans="2:14" ht="15.6" x14ac:dyDescent="0.3">
      <c r="B2013" s="32"/>
      <c r="C2013" s="32"/>
      <c r="M2013" s="25"/>
      <c r="N2013" s="25"/>
    </row>
    <row r="2014" spans="2:14" ht="15.6" x14ac:dyDescent="0.3">
      <c r="B2014" s="32"/>
      <c r="C2014" s="32"/>
      <c r="M2014" s="25"/>
      <c r="N2014" s="25"/>
    </row>
    <row r="2015" spans="2:14" ht="15.6" x14ac:dyDescent="0.3">
      <c r="B2015" s="32"/>
      <c r="C2015" s="32"/>
      <c r="M2015" s="25"/>
      <c r="N2015" s="25"/>
    </row>
    <row r="2016" spans="2:14" x14ac:dyDescent="0.3">
      <c r="B2016" s="25"/>
      <c r="C2016" s="25"/>
      <c r="M2016" s="25"/>
      <c r="N2016" s="25"/>
    </row>
  </sheetData>
  <sheetProtection sheet="1" objects="1" scenarios="1" selectLockedCells="1"/>
  <mergeCells count="9">
    <mergeCell ref="J18:K18"/>
    <mergeCell ref="H20:H21"/>
    <mergeCell ref="H18:I19"/>
    <mergeCell ref="A1:O1"/>
    <mergeCell ref="B14:C14"/>
    <mergeCell ref="E14:K14"/>
    <mergeCell ref="M14:N14"/>
    <mergeCell ref="F15:J15"/>
    <mergeCell ref="F16:J1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Dichotomize_btn">
          <controlPr defaultSize="0" autoLine="0" r:id="rId4">
            <anchor moveWithCells="1">
              <from>
                <xdr:col>4</xdr:col>
                <xdr:colOff>419100</xdr:colOff>
                <xdr:row>17</xdr:row>
                <xdr:rowOff>7620</xdr:rowOff>
              </from>
              <to>
                <xdr:col>6</xdr:col>
                <xdr:colOff>266700</xdr:colOff>
                <xdr:row>18</xdr:row>
                <xdr:rowOff>76200</xdr:rowOff>
              </to>
            </anchor>
          </controlPr>
        </control>
      </mc:Choice>
      <mc:Fallback>
        <control shapeId="2049" r:id="rId3" name="Dichotomize_btn"/>
      </mc:Fallback>
    </mc:AlternateContent>
    <mc:AlternateContent xmlns:mc="http://schemas.openxmlformats.org/markup-compatibility/2006">
      <mc:Choice Requires="x14">
        <control shapeId="2050" r:id="rId5" name="Transfer_btn">
          <controlPr defaultSize="0" autoLine="0" r:id="rId6">
            <anchor moveWithCells="1">
              <from>
                <xdr:col>4</xdr:col>
                <xdr:colOff>441960</xdr:colOff>
                <xdr:row>19</xdr:row>
                <xdr:rowOff>106680</xdr:rowOff>
              </from>
              <to>
                <xdr:col>6</xdr:col>
                <xdr:colOff>289560</xdr:colOff>
                <xdr:row>21</xdr:row>
                <xdr:rowOff>106680</xdr:rowOff>
              </to>
            </anchor>
          </controlPr>
        </control>
      </mc:Choice>
      <mc:Fallback>
        <control shapeId="2050" r:id="rId5" name="Transfer_btn"/>
      </mc:Fallback>
    </mc:AlternateContent>
    <mc:AlternateContent xmlns:mc="http://schemas.openxmlformats.org/markup-compatibility/2006">
      <mc:Choice Requires="x14">
        <control shapeId="2051" r:id="rId7" name="Reset_btn">
          <controlPr defaultSize="0" autoLine="0" r:id="rId8">
            <anchor moveWithCells="1">
              <from>
                <xdr:col>8</xdr:col>
                <xdr:colOff>68580</xdr:colOff>
                <xdr:row>21</xdr:row>
                <xdr:rowOff>144780</xdr:rowOff>
              </from>
              <to>
                <xdr:col>9</xdr:col>
                <xdr:colOff>594360</xdr:colOff>
                <xdr:row>23</xdr:row>
                <xdr:rowOff>45720</xdr:rowOff>
              </to>
            </anchor>
          </controlPr>
        </control>
      </mc:Choice>
      <mc:Fallback>
        <control shapeId="2051" r:id="rId7" name="Reset_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710"/>
  <sheetViews>
    <sheetView workbookViewId="0"/>
  </sheetViews>
  <sheetFormatPr defaultRowHeight="14.4" x14ac:dyDescent="0.3"/>
  <cols>
    <col min="6" max="6" width="9.6640625" customWidth="1"/>
    <col min="7" max="7" width="9.77734375" customWidth="1"/>
  </cols>
  <sheetData>
    <row r="1" spans="1:9" ht="17.399999999999999" x14ac:dyDescent="0.3">
      <c r="A1" s="25"/>
      <c r="E1" s="47" t="s">
        <v>44</v>
      </c>
      <c r="F1" s="47"/>
      <c r="G1" s="47"/>
      <c r="H1" s="47"/>
      <c r="I1" s="21"/>
    </row>
    <row r="3" spans="1:9" ht="15.6" x14ac:dyDescent="0.3">
      <c r="B3" s="20" t="s">
        <v>45</v>
      </c>
    </row>
    <row r="4" spans="1:9" ht="15.6" x14ac:dyDescent="0.3">
      <c r="B4" s="20" t="s">
        <v>48</v>
      </c>
    </row>
    <row r="5" spans="1:9" ht="15.6" x14ac:dyDescent="0.3">
      <c r="B5" s="20" t="s">
        <v>49</v>
      </c>
    </row>
    <row r="6" spans="1:9" ht="15.6" x14ac:dyDescent="0.3">
      <c r="B6" s="20"/>
    </row>
    <row r="7" spans="1:9" ht="15" thickBot="1" x14ac:dyDescent="0.35"/>
    <row r="8" spans="1:9" ht="16.2" thickBot="1" x14ac:dyDescent="0.35">
      <c r="F8" s="48" t="s">
        <v>46</v>
      </c>
      <c r="G8" s="48"/>
    </row>
    <row r="9" spans="1:9" ht="16.2" thickBot="1" x14ac:dyDescent="0.35">
      <c r="E9" s="27" t="s">
        <v>47</v>
      </c>
      <c r="F9" s="19" t="s">
        <v>0</v>
      </c>
      <c r="G9" s="19" t="s">
        <v>1</v>
      </c>
    </row>
    <row r="10" spans="1:9" ht="16.2" thickTop="1" x14ac:dyDescent="0.3">
      <c r="E10" s="28">
        <v>1</v>
      </c>
      <c r="F10" s="29">
        <v>6</v>
      </c>
      <c r="G10" s="29">
        <v>87</v>
      </c>
    </row>
    <row r="11" spans="1:9" ht="15.6" x14ac:dyDescent="0.3">
      <c r="E11" s="28">
        <v>2</v>
      </c>
      <c r="F11" s="29">
        <v>3</v>
      </c>
      <c r="G11" s="29">
        <v>83</v>
      </c>
    </row>
    <row r="12" spans="1:9" ht="15.6" x14ac:dyDescent="0.3">
      <c r="E12" s="28">
        <v>3</v>
      </c>
      <c r="F12" s="29">
        <v>9</v>
      </c>
      <c r="G12" s="29">
        <v>97</v>
      </c>
    </row>
    <row r="13" spans="1:9" ht="15.6" x14ac:dyDescent="0.3">
      <c r="E13" s="28">
        <v>4</v>
      </c>
      <c r="F13" s="29">
        <v>9</v>
      </c>
      <c r="G13" s="29">
        <v>87</v>
      </c>
    </row>
    <row r="14" spans="1:9" ht="15.6" x14ac:dyDescent="0.3">
      <c r="E14" s="28">
        <v>5</v>
      </c>
      <c r="F14" s="29">
        <v>9</v>
      </c>
      <c r="G14" s="29">
        <v>108</v>
      </c>
    </row>
    <row r="15" spans="1:9" ht="15.6" x14ac:dyDescent="0.3">
      <c r="E15" s="28">
        <v>6</v>
      </c>
      <c r="F15" s="29">
        <v>10</v>
      </c>
      <c r="G15" s="29">
        <v>112</v>
      </c>
    </row>
    <row r="16" spans="1:9" ht="15.6" x14ac:dyDescent="0.3">
      <c r="E16" s="28">
        <v>7</v>
      </c>
      <c r="F16" s="29">
        <v>2</v>
      </c>
      <c r="G16" s="29">
        <v>102</v>
      </c>
    </row>
    <row r="17" spans="5:7" ht="15.6" x14ac:dyDescent="0.3">
      <c r="E17" s="28">
        <v>8</v>
      </c>
      <c r="F17" s="29">
        <v>7</v>
      </c>
      <c r="G17" s="29">
        <v>103</v>
      </c>
    </row>
    <row r="18" spans="5:7" ht="15.6" x14ac:dyDescent="0.3">
      <c r="E18" s="28">
        <v>9</v>
      </c>
      <c r="F18" s="29">
        <v>7</v>
      </c>
      <c r="G18" s="29">
        <v>107</v>
      </c>
    </row>
    <row r="19" spans="5:7" ht="15.6" x14ac:dyDescent="0.3">
      <c r="E19" s="28">
        <v>10</v>
      </c>
      <c r="F19" s="29">
        <v>6</v>
      </c>
      <c r="G19" s="29">
        <v>56</v>
      </c>
    </row>
    <row r="20" spans="5:7" ht="15.6" x14ac:dyDescent="0.3">
      <c r="E20" s="28">
        <v>11</v>
      </c>
      <c r="F20" s="29">
        <v>5</v>
      </c>
      <c r="G20" s="29">
        <v>81</v>
      </c>
    </row>
    <row r="21" spans="5:7" ht="15.6" x14ac:dyDescent="0.3">
      <c r="E21" s="28">
        <v>12</v>
      </c>
      <c r="F21" s="29">
        <v>9</v>
      </c>
      <c r="G21" s="29">
        <v>23</v>
      </c>
    </row>
    <row r="22" spans="5:7" ht="15.6" x14ac:dyDescent="0.3">
      <c r="E22" s="28">
        <v>13</v>
      </c>
      <c r="F22" s="29">
        <v>3</v>
      </c>
      <c r="G22" s="29">
        <v>73</v>
      </c>
    </row>
    <row r="23" spans="5:7" ht="15.6" x14ac:dyDescent="0.3">
      <c r="E23" s="28">
        <v>14</v>
      </c>
      <c r="F23" s="29">
        <v>9</v>
      </c>
      <c r="G23" s="29">
        <v>113</v>
      </c>
    </row>
    <row r="24" spans="5:7" ht="15.6" x14ac:dyDescent="0.3">
      <c r="E24" s="28">
        <v>15</v>
      </c>
      <c r="F24" s="29">
        <v>6</v>
      </c>
      <c r="G24" s="29">
        <v>64</v>
      </c>
    </row>
    <row r="25" spans="5:7" ht="15.6" x14ac:dyDescent="0.3">
      <c r="E25" s="28">
        <v>16</v>
      </c>
      <c r="F25" s="29">
        <v>4</v>
      </c>
      <c r="G25" s="29">
        <v>90</v>
      </c>
    </row>
    <row r="26" spans="5:7" ht="15.6" x14ac:dyDescent="0.3">
      <c r="E26" s="28">
        <v>17</v>
      </c>
      <c r="F26" s="29">
        <v>3</v>
      </c>
      <c r="G26" s="29">
        <v>109</v>
      </c>
    </row>
    <row r="27" spans="5:7" ht="15.6" x14ac:dyDescent="0.3">
      <c r="E27" s="28">
        <v>18</v>
      </c>
      <c r="F27" s="29">
        <v>6</v>
      </c>
      <c r="G27" s="29">
        <v>109</v>
      </c>
    </row>
    <row r="28" spans="5:7" ht="15.6" x14ac:dyDescent="0.3">
      <c r="E28" s="28">
        <v>19</v>
      </c>
      <c r="F28" s="29">
        <v>8</v>
      </c>
      <c r="G28" s="29">
        <v>83</v>
      </c>
    </row>
    <row r="29" spans="5:7" ht="15.6" x14ac:dyDescent="0.3">
      <c r="E29" s="28">
        <v>20</v>
      </c>
      <c r="F29" s="29">
        <v>5</v>
      </c>
      <c r="G29" s="29">
        <v>74</v>
      </c>
    </row>
    <row r="30" spans="5:7" ht="15.6" x14ac:dyDescent="0.3">
      <c r="E30" s="28">
        <v>21</v>
      </c>
      <c r="F30" s="29">
        <v>7</v>
      </c>
      <c r="G30" s="29">
        <v>103</v>
      </c>
    </row>
    <row r="31" spans="5:7" ht="15.6" x14ac:dyDescent="0.3">
      <c r="E31" s="28">
        <v>22</v>
      </c>
      <c r="F31" s="29">
        <v>1</v>
      </c>
      <c r="G31" s="29">
        <v>100</v>
      </c>
    </row>
    <row r="32" spans="5:7" ht="15.6" x14ac:dyDescent="0.3">
      <c r="E32" s="28">
        <v>23</v>
      </c>
      <c r="F32" s="29">
        <v>7</v>
      </c>
      <c r="G32" s="29">
        <v>92</v>
      </c>
    </row>
    <row r="33" spans="5:7" ht="15.6" x14ac:dyDescent="0.3">
      <c r="E33" s="28">
        <v>24</v>
      </c>
      <c r="F33" s="29">
        <v>7</v>
      </c>
      <c r="G33" s="29">
        <v>85</v>
      </c>
    </row>
    <row r="34" spans="5:7" ht="15.6" x14ac:dyDescent="0.3">
      <c r="E34" s="28">
        <v>25</v>
      </c>
      <c r="F34" s="29">
        <v>3</v>
      </c>
      <c r="G34" s="29">
        <v>90</v>
      </c>
    </row>
    <row r="35" spans="5:7" ht="15.6" x14ac:dyDescent="0.3">
      <c r="E35" s="28">
        <v>26</v>
      </c>
      <c r="F35" s="29">
        <v>4</v>
      </c>
      <c r="G35" s="29">
        <v>108</v>
      </c>
    </row>
    <row r="36" spans="5:7" ht="15.6" x14ac:dyDescent="0.3">
      <c r="E36" s="28">
        <v>27</v>
      </c>
      <c r="F36" s="29">
        <v>8</v>
      </c>
      <c r="G36" s="29">
        <v>93</v>
      </c>
    </row>
    <row r="37" spans="5:7" ht="15.6" x14ac:dyDescent="0.3">
      <c r="E37" s="28">
        <v>28</v>
      </c>
      <c r="F37" s="29">
        <v>5</v>
      </c>
      <c r="G37" s="29">
        <v>91</v>
      </c>
    </row>
    <row r="38" spans="5:7" ht="15.6" x14ac:dyDescent="0.3">
      <c r="E38" s="28">
        <v>29</v>
      </c>
      <c r="F38" s="29">
        <v>4</v>
      </c>
      <c r="G38" s="29">
        <v>115</v>
      </c>
    </row>
    <row r="39" spans="5:7" ht="15.6" x14ac:dyDescent="0.3">
      <c r="E39" s="28">
        <v>30</v>
      </c>
      <c r="F39" s="29">
        <v>9</v>
      </c>
      <c r="G39" s="29">
        <v>107</v>
      </c>
    </row>
    <row r="40" spans="5:7" ht="15.6" x14ac:dyDescent="0.3">
      <c r="E40" s="28">
        <v>31</v>
      </c>
      <c r="F40" s="29">
        <v>3</v>
      </c>
      <c r="G40" s="29">
        <v>100</v>
      </c>
    </row>
    <row r="41" spans="5:7" ht="15.6" x14ac:dyDescent="0.3">
      <c r="E41" s="28">
        <v>32</v>
      </c>
      <c r="F41" s="29">
        <v>9</v>
      </c>
      <c r="G41" s="29">
        <v>115</v>
      </c>
    </row>
    <row r="42" spans="5:7" ht="15.6" x14ac:dyDescent="0.3">
      <c r="E42" s="28">
        <v>33</v>
      </c>
      <c r="F42" s="29">
        <v>7</v>
      </c>
      <c r="G42" s="29">
        <v>73</v>
      </c>
    </row>
    <row r="43" spans="5:7" ht="15.6" x14ac:dyDescent="0.3">
      <c r="E43" s="28">
        <v>34</v>
      </c>
      <c r="F43" s="29">
        <v>1</v>
      </c>
      <c r="G43" s="29">
        <v>103</v>
      </c>
    </row>
    <row r="44" spans="5:7" ht="15.6" x14ac:dyDescent="0.3">
      <c r="E44" s="28">
        <v>35</v>
      </c>
      <c r="F44" s="29">
        <v>8</v>
      </c>
      <c r="G44" s="29">
        <v>84</v>
      </c>
    </row>
    <row r="45" spans="5:7" ht="15.6" x14ac:dyDescent="0.3">
      <c r="E45" s="28">
        <v>36</v>
      </c>
      <c r="F45" s="29">
        <v>5</v>
      </c>
      <c r="G45" s="29">
        <v>89</v>
      </c>
    </row>
    <row r="46" spans="5:7" ht="15.6" x14ac:dyDescent="0.3">
      <c r="E46" s="28">
        <v>37</v>
      </c>
      <c r="F46" s="29">
        <v>9</v>
      </c>
      <c r="G46" s="29">
        <v>117</v>
      </c>
    </row>
    <row r="47" spans="5:7" ht="15.6" x14ac:dyDescent="0.3">
      <c r="E47" s="28">
        <v>38</v>
      </c>
      <c r="F47" s="29">
        <v>10</v>
      </c>
      <c r="G47" s="29">
        <v>104</v>
      </c>
    </row>
    <row r="48" spans="5:7" ht="15.6" x14ac:dyDescent="0.3">
      <c r="E48" s="28">
        <v>39</v>
      </c>
      <c r="F48" s="29">
        <v>3</v>
      </c>
      <c r="G48" s="29">
        <v>95</v>
      </c>
    </row>
    <row r="49" spans="5:7" ht="15.6" x14ac:dyDescent="0.3">
      <c r="E49" s="28">
        <v>40</v>
      </c>
      <c r="F49" s="29">
        <v>3</v>
      </c>
      <c r="G49" s="29">
        <v>83</v>
      </c>
    </row>
    <row r="50" spans="5:7" ht="15.6" x14ac:dyDescent="0.3">
      <c r="E50" s="28">
        <v>41</v>
      </c>
      <c r="F50" s="29">
        <v>3</v>
      </c>
      <c r="G50" s="29">
        <v>96</v>
      </c>
    </row>
    <row r="51" spans="5:7" ht="15.6" x14ac:dyDescent="0.3">
      <c r="E51" s="28">
        <v>42</v>
      </c>
      <c r="F51" s="29">
        <v>9</v>
      </c>
      <c r="G51" s="29">
        <v>72</v>
      </c>
    </row>
    <row r="52" spans="5:7" ht="15.6" x14ac:dyDescent="0.3">
      <c r="E52" s="28">
        <v>43</v>
      </c>
      <c r="F52" s="29">
        <v>1</v>
      </c>
      <c r="G52" s="29">
        <v>107</v>
      </c>
    </row>
    <row r="53" spans="5:7" ht="15.6" x14ac:dyDescent="0.3">
      <c r="E53" s="28">
        <v>44</v>
      </c>
      <c r="F53" s="29">
        <v>3</v>
      </c>
      <c r="G53" s="29">
        <v>92</v>
      </c>
    </row>
    <row r="54" spans="5:7" ht="15.6" x14ac:dyDescent="0.3">
      <c r="E54" s="28">
        <v>45</v>
      </c>
      <c r="F54" s="29">
        <v>1</v>
      </c>
      <c r="G54" s="29">
        <v>81</v>
      </c>
    </row>
    <row r="55" spans="5:7" ht="15.6" x14ac:dyDescent="0.3">
      <c r="E55" s="28">
        <v>46</v>
      </c>
      <c r="F55" s="29">
        <v>8</v>
      </c>
      <c r="G55" s="29">
        <v>105</v>
      </c>
    </row>
    <row r="56" spans="5:7" ht="15.6" x14ac:dyDescent="0.3">
      <c r="E56" s="28">
        <v>47</v>
      </c>
      <c r="F56" s="29">
        <v>9</v>
      </c>
      <c r="G56" s="29">
        <v>103</v>
      </c>
    </row>
    <row r="57" spans="5:7" ht="15.6" x14ac:dyDescent="0.3">
      <c r="E57" s="28">
        <v>48</v>
      </c>
      <c r="F57" s="29">
        <v>1</v>
      </c>
      <c r="G57" s="29">
        <v>101</v>
      </c>
    </row>
    <row r="58" spans="5:7" ht="15.6" x14ac:dyDescent="0.3">
      <c r="E58" s="28">
        <v>49</v>
      </c>
      <c r="F58" s="29">
        <v>9</v>
      </c>
      <c r="G58" s="29">
        <v>66</v>
      </c>
    </row>
    <row r="59" spans="5:7" ht="15.6" x14ac:dyDescent="0.3">
      <c r="E59" s="28">
        <v>50</v>
      </c>
      <c r="F59" s="29">
        <v>9</v>
      </c>
      <c r="G59" s="29">
        <v>101</v>
      </c>
    </row>
    <row r="60" spans="5:7" ht="15.6" x14ac:dyDescent="0.3">
      <c r="E60" s="28">
        <v>51</v>
      </c>
      <c r="F60" s="29">
        <v>10</v>
      </c>
      <c r="G60" s="29">
        <v>100</v>
      </c>
    </row>
    <row r="61" spans="5:7" ht="15.6" x14ac:dyDescent="0.3">
      <c r="E61" s="28">
        <v>52</v>
      </c>
      <c r="F61" s="29">
        <v>10</v>
      </c>
      <c r="G61" s="29">
        <v>105</v>
      </c>
    </row>
    <row r="62" spans="5:7" ht="15.6" x14ac:dyDescent="0.3">
      <c r="E62" s="28">
        <v>53</v>
      </c>
      <c r="F62" s="29">
        <v>10</v>
      </c>
      <c r="G62" s="29">
        <v>101</v>
      </c>
    </row>
    <row r="63" spans="5:7" ht="15.6" x14ac:dyDescent="0.3">
      <c r="E63" s="28">
        <v>54</v>
      </c>
      <c r="F63" s="29">
        <v>10</v>
      </c>
      <c r="G63" s="29">
        <v>116</v>
      </c>
    </row>
    <row r="64" spans="5:7" ht="15.6" x14ac:dyDescent="0.3">
      <c r="E64" s="28">
        <v>55</v>
      </c>
      <c r="F64" s="29">
        <v>7</v>
      </c>
      <c r="G64" s="29">
        <v>97</v>
      </c>
    </row>
    <row r="65" spans="5:7" ht="15.6" x14ac:dyDescent="0.3">
      <c r="E65" s="28">
        <v>56</v>
      </c>
      <c r="F65" s="29">
        <v>1</v>
      </c>
      <c r="G65" s="29">
        <v>69</v>
      </c>
    </row>
    <row r="66" spans="5:7" ht="15.6" x14ac:dyDescent="0.3">
      <c r="E66" s="28">
        <v>57</v>
      </c>
      <c r="F66" s="29">
        <v>3</v>
      </c>
      <c r="G66" s="29">
        <v>58</v>
      </c>
    </row>
    <row r="67" spans="5:7" ht="15.6" x14ac:dyDescent="0.3">
      <c r="E67" s="28">
        <v>58</v>
      </c>
      <c r="F67" s="29">
        <v>8</v>
      </c>
      <c r="G67" s="29">
        <v>66</v>
      </c>
    </row>
    <row r="68" spans="5:7" ht="15.6" x14ac:dyDescent="0.3">
      <c r="E68" s="28">
        <v>59</v>
      </c>
      <c r="F68" s="29">
        <v>2</v>
      </c>
      <c r="G68" s="29">
        <v>53</v>
      </c>
    </row>
    <row r="69" spans="5:7" ht="15.6" x14ac:dyDescent="0.3">
      <c r="E69" s="28">
        <v>60</v>
      </c>
      <c r="F69" s="29">
        <v>4</v>
      </c>
      <c r="G69" s="29">
        <v>84</v>
      </c>
    </row>
    <row r="70" spans="5:7" ht="15.6" x14ac:dyDescent="0.3">
      <c r="E70" s="28">
        <v>61</v>
      </c>
      <c r="F70" s="29">
        <v>4</v>
      </c>
      <c r="G70" s="29">
        <v>98</v>
      </c>
    </row>
    <row r="71" spans="5:7" ht="15.6" x14ac:dyDescent="0.3">
      <c r="E71" s="28">
        <v>62</v>
      </c>
      <c r="F71" s="29">
        <v>7</v>
      </c>
      <c r="G71" s="29">
        <v>115</v>
      </c>
    </row>
    <row r="72" spans="5:7" ht="15.6" x14ac:dyDescent="0.3">
      <c r="E72" s="28">
        <v>63</v>
      </c>
      <c r="F72" s="29">
        <v>9</v>
      </c>
      <c r="G72" s="29">
        <v>117</v>
      </c>
    </row>
    <row r="73" spans="5:7" ht="15.6" x14ac:dyDescent="0.3">
      <c r="E73" s="28">
        <v>64</v>
      </c>
      <c r="F73" s="29">
        <v>10</v>
      </c>
      <c r="G73" s="29">
        <v>104</v>
      </c>
    </row>
    <row r="74" spans="5:7" ht="15.6" x14ac:dyDescent="0.3">
      <c r="E74" s="28">
        <v>65</v>
      </c>
      <c r="F74" s="29">
        <v>3</v>
      </c>
      <c r="G74" s="29">
        <v>95</v>
      </c>
    </row>
    <row r="75" spans="5:7" ht="15.6" x14ac:dyDescent="0.3">
      <c r="E75" s="28">
        <v>66</v>
      </c>
      <c r="F75" s="29">
        <v>8</v>
      </c>
      <c r="G75" s="29">
        <v>100</v>
      </c>
    </row>
    <row r="76" spans="5:7" ht="15.6" x14ac:dyDescent="0.3">
      <c r="E76" s="28">
        <v>67</v>
      </c>
      <c r="F76" s="29">
        <v>8</v>
      </c>
      <c r="G76" s="29">
        <v>84</v>
      </c>
    </row>
    <row r="77" spans="5:7" ht="15.6" x14ac:dyDescent="0.3">
      <c r="E77" s="28">
        <v>68</v>
      </c>
      <c r="F77" s="29">
        <v>1</v>
      </c>
      <c r="G77" s="29">
        <v>92</v>
      </c>
    </row>
    <row r="78" spans="5:7" ht="15.6" x14ac:dyDescent="0.3">
      <c r="E78" s="28">
        <v>69</v>
      </c>
      <c r="F78" s="29">
        <v>7</v>
      </c>
      <c r="G78" s="29">
        <v>106</v>
      </c>
    </row>
    <row r="79" spans="5:7" ht="15.6" x14ac:dyDescent="0.3">
      <c r="E79" s="28">
        <v>70</v>
      </c>
      <c r="F79" s="29">
        <v>3</v>
      </c>
      <c r="G79" s="29">
        <v>82</v>
      </c>
    </row>
    <row r="80" spans="5:7" ht="15.6" x14ac:dyDescent="0.3">
      <c r="E80" s="28">
        <v>71</v>
      </c>
      <c r="F80" s="29"/>
      <c r="G80" s="29">
        <v>63</v>
      </c>
    </row>
    <row r="81" spans="5:7" ht="15.6" x14ac:dyDescent="0.3">
      <c r="E81" s="28">
        <v>72</v>
      </c>
      <c r="F81" s="29">
        <v>9</v>
      </c>
      <c r="G81" s="29">
        <v>94</v>
      </c>
    </row>
    <row r="82" spans="5:7" ht="15.6" x14ac:dyDescent="0.3">
      <c r="E82" s="28">
        <v>73</v>
      </c>
      <c r="F82" s="29">
        <v>7</v>
      </c>
      <c r="G82" s="29">
        <v>93</v>
      </c>
    </row>
    <row r="83" spans="5:7" ht="15.6" x14ac:dyDescent="0.3">
      <c r="E83" s="28">
        <v>74</v>
      </c>
      <c r="F83" s="29">
        <v>8</v>
      </c>
      <c r="G83" s="29">
        <v>105</v>
      </c>
    </row>
    <row r="84" spans="5:7" ht="15.6" x14ac:dyDescent="0.3">
      <c r="E84" s="28">
        <v>75</v>
      </c>
      <c r="F84" s="29">
        <v>3</v>
      </c>
      <c r="G84" s="29">
        <v>82</v>
      </c>
    </row>
    <row r="85" spans="5:7" ht="15.6" x14ac:dyDescent="0.3">
      <c r="E85" s="28">
        <v>76</v>
      </c>
      <c r="F85" s="29">
        <v>3</v>
      </c>
      <c r="G85" s="29">
        <v>113</v>
      </c>
    </row>
    <row r="86" spans="5:7" ht="15.6" x14ac:dyDescent="0.3">
      <c r="E86" s="28">
        <v>77</v>
      </c>
      <c r="F86" s="29">
        <v>5</v>
      </c>
      <c r="G86" s="29">
        <v>81</v>
      </c>
    </row>
    <row r="87" spans="5:7" ht="15.6" x14ac:dyDescent="0.3">
      <c r="E87" s="28">
        <v>78</v>
      </c>
      <c r="F87" s="29">
        <v>9</v>
      </c>
      <c r="G87" s="29">
        <v>23</v>
      </c>
    </row>
    <row r="88" spans="5:7" ht="15.6" x14ac:dyDescent="0.3">
      <c r="E88" s="28">
        <v>79</v>
      </c>
      <c r="F88" s="29">
        <v>3</v>
      </c>
      <c r="G88" s="29">
        <v>73</v>
      </c>
    </row>
    <row r="89" spans="5:7" ht="15.6" x14ac:dyDescent="0.3">
      <c r="E89" s="28">
        <v>80</v>
      </c>
      <c r="F89" s="29">
        <v>9</v>
      </c>
      <c r="G89" s="29">
        <v>113</v>
      </c>
    </row>
    <row r="90" spans="5:7" ht="15.6" x14ac:dyDescent="0.3">
      <c r="E90" s="28">
        <v>81</v>
      </c>
      <c r="F90" s="29">
        <v>6</v>
      </c>
      <c r="G90" s="29">
        <v>65</v>
      </c>
    </row>
    <row r="91" spans="5:7" ht="15.6" x14ac:dyDescent="0.3">
      <c r="E91" s="28">
        <v>82</v>
      </c>
      <c r="F91" s="29">
        <v>3</v>
      </c>
      <c r="G91" s="29">
        <v>58</v>
      </c>
    </row>
    <row r="92" spans="5:7" ht="15.6" x14ac:dyDescent="0.3">
      <c r="E92" s="28">
        <v>83</v>
      </c>
      <c r="F92" s="29">
        <v>8</v>
      </c>
      <c r="G92" s="29">
        <v>66</v>
      </c>
    </row>
    <row r="93" spans="5:7" ht="15.6" x14ac:dyDescent="0.3">
      <c r="E93" s="28">
        <v>84</v>
      </c>
      <c r="F93" s="29">
        <v>2</v>
      </c>
      <c r="G93" s="29">
        <v>53</v>
      </c>
    </row>
    <row r="94" spans="5:7" ht="15.6" x14ac:dyDescent="0.3">
      <c r="E94" s="28">
        <v>85</v>
      </c>
      <c r="F94" s="29">
        <v>4</v>
      </c>
      <c r="G94" s="29">
        <v>98</v>
      </c>
    </row>
    <row r="95" spans="5:7" ht="15.6" x14ac:dyDescent="0.3">
      <c r="E95" s="28">
        <v>86</v>
      </c>
      <c r="F95" s="29">
        <v>7</v>
      </c>
      <c r="G95" s="29">
        <v>115</v>
      </c>
    </row>
    <row r="96" spans="5:7" ht="15.6" x14ac:dyDescent="0.3">
      <c r="E96" s="28">
        <v>87</v>
      </c>
      <c r="F96" s="29">
        <v>2</v>
      </c>
      <c r="G96" s="29">
        <v>30</v>
      </c>
    </row>
    <row r="97" spans="5:7" ht="15.6" x14ac:dyDescent="0.3">
      <c r="E97" s="28">
        <v>88</v>
      </c>
      <c r="F97" s="29">
        <v>9</v>
      </c>
      <c r="G97" s="29">
        <v>112</v>
      </c>
    </row>
    <row r="98" spans="5:7" ht="15.6" x14ac:dyDescent="0.3">
      <c r="E98" s="28">
        <v>89</v>
      </c>
      <c r="F98" s="29">
        <v>8</v>
      </c>
      <c r="G98" s="29">
        <v>103</v>
      </c>
    </row>
    <row r="99" spans="5:7" ht="15.6" x14ac:dyDescent="0.3">
      <c r="E99" s="28">
        <v>90</v>
      </c>
      <c r="F99" s="29">
        <v>9</v>
      </c>
      <c r="G99" s="29">
        <v>108</v>
      </c>
    </row>
    <row r="100" spans="5:7" ht="15.6" x14ac:dyDescent="0.3">
      <c r="E100" s="28">
        <v>91</v>
      </c>
      <c r="F100" s="29">
        <v>8</v>
      </c>
      <c r="G100" s="29">
        <v>111</v>
      </c>
    </row>
    <row r="101" spans="5:7" ht="15.6" x14ac:dyDescent="0.3">
      <c r="E101" s="28">
        <v>92</v>
      </c>
      <c r="F101" s="29">
        <v>3</v>
      </c>
      <c r="G101" s="29">
        <v>76</v>
      </c>
    </row>
    <row r="102" spans="5:7" ht="15.6" x14ac:dyDescent="0.3">
      <c r="E102" s="28">
        <v>93</v>
      </c>
      <c r="F102" s="29">
        <v>4</v>
      </c>
      <c r="G102" s="29">
        <v>109</v>
      </c>
    </row>
    <row r="103" spans="5:7" ht="15.6" x14ac:dyDescent="0.3">
      <c r="E103" s="28">
        <v>94</v>
      </c>
      <c r="F103" s="29">
        <v>4</v>
      </c>
      <c r="G103" s="29">
        <v>82</v>
      </c>
    </row>
    <row r="104" spans="5:7" ht="15.6" x14ac:dyDescent="0.3">
      <c r="E104" s="28">
        <v>95</v>
      </c>
      <c r="F104" s="29">
        <v>7</v>
      </c>
      <c r="G104" s="29">
        <v>101</v>
      </c>
    </row>
    <row r="105" spans="5:7" ht="15.6" x14ac:dyDescent="0.3">
      <c r="E105" s="28">
        <v>96</v>
      </c>
      <c r="F105" s="29">
        <v>4</v>
      </c>
      <c r="G105" s="29">
        <v>59</v>
      </c>
    </row>
    <row r="106" spans="5:7" ht="15.6" x14ac:dyDescent="0.3">
      <c r="E106" s="28">
        <v>97</v>
      </c>
      <c r="F106" s="29">
        <v>7</v>
      </c>
      <c r="G106" s="29">
        <v>70</v>
      </c>
    </row>
    <row r="107" spans="5:7" ht="15.6" x14ac:dyDescent="0.3">
      <c r="E107" s="28">
        <v>98</v>
      </c>
      <c r="F107" s="29">
        <v>7</v>
      </c>
      <c r="G107" s="29">
        <v>103</v>
      </c>
    </row>
    <row r="108" spans="5:7" ht="15.6" x14ac:dyDescent="0.3">
      <c r="E108" s="28">
        <v>99</v>
      </c>
      <c r="F108" s="29">
        <v>5</v>
      </c>
      <c r="G108" s="29">
        <v>74</v>
      </c>
    </row>
    <row r="109" spans="5:7" ht="15.6" x14ac:dyDescent="0.3">
      <c r="E109" s="28">
        <v>100</v>
      </c>
      <c r="F109" s="29">
        <v>8</v>
      </c>
      <c r="G109" s="29">
        <v>83</v>
      </c>
    </row>
    <row r="110" spans="5:7" ht="15.6" x14ac:dyDescent="0.3">
      <c r="E110" s="28">
        <v>101</v>
      </c>
      <c r="F110" s="29">
        <v>6</v>
      </c>
      <c r="G110" s="29">
        <v>109</v>
      </c>
    </row>
    <row r="111" spans="5:7" ht="15.6" x14ac:dyDescent="0.3">
      <c r="E111" s="28">
        <v>102</v>
      </c>
      <c r="F111" s="29">
        <v>3</v>
      </c>
      <c r="G111" s="29">
        <v>109</v>
      </c>
    </row>
    <row r="112" spans="5:7" ht="15.6" x14ac:dyDescent="0.3">
      <c r="E112" s="28">
        <v>103</v>
      </c>
      <c r="F112" s="29">
        <v>4</v>
      </c>
      <c r="G112" s="29">
        <v>90</v>
      </c>
    </row>
    <row r="113" spans="5:7" ht="15.6" x14ac:dyDescent="0.3">
      <c r="E113" s="28">
        <v>104</v>
      </c>
      <c r="F113" s="29">
        <v>10</v>
      </c>
      <c r="G113" s="29">
        <v>108</v>
      </c>
    </row>
    <row r="114" spans="5:7" ht="15.6" x14ac:dyDescent="0.3">
      <c r="E114" s="28">
        <v>105</v>
      </c>
      <c r="F114" s="29">
        <v>9</v>
      </c>
      <c r="G114" s="29">
        <v>90</v>
      </c>
    </row>
    <row r="115" spans="5:7" ht="15.6" x14ac:dyDescent="0.3">
      <c r="E115" s="28">
        <v>106</v>
      </c>
      <c r="F115" s="29">
        <v>3</v>
      </c>
      <c r="G115" s="29">
        <v>94</v>
      </c>
    </row>
    <row r="116" spans="5:7" ht="15.6" x14ac:dyDescent="0.3">
      <c r="E116" s="28">
        <v>107</v>
      </c>
      <c r="F116" s="29">
        <v>9</v>
      </c>
      <c r="G116" s="29">
        <v>105</v>
      </c>
    </row>
    <row r="117" spans="5:7" ht="15.6" x14ac:dyDescent="0.3">
      <c r="E117" s="28">
        <v>108</v>
      </c>
      <c r="F117" s="29">
        <v>4</v>
      </c>
      <c r="G117" s="29">
        <v>98</v>
      </c>
    </row>
    <row r="118" spans="5:7" ht="15.6" x14ac:dyDescent="0.3">
      <c r="E118" s="28">
        <v>109</v>
      </c>
      <c r="F118" s="29">
        <v>10</v>
      </c>
      <c r="G118" s="29">
        <v>80</v>
      </c>
    </row>
    <row r="119" spans="5:7" ht="15.6" x14ac:dyDescent="0.3">
      <c r="E119" s="28">
        <v>110</v>
      </c>
      <c r="F119" s="29">
        <v>8</v>
      </c>
      <c r="G119" s="29">
        <v>114</v>
      </c>
    </row>
    <row r="120" spans="5:7" ht="15.6" x14ac:dyDescent="0.3">
      <c r="E120" s="28">
        <v>111</v>
      </c>
      <c r="F120" s="29">
        <v>5</v>
      </c>
      <c r="G120" s="29">
        <v>107</v>
      </c>
    </row>
    <row r="121" spans="5:7" ht="15.6" x14ac:dyDescent="0.3">
      <c r="E121" s="28">
        <v>112</v>
      </c>
      <c r="F121" s="29">
        <v>8</v>
      </c>
      <c r="G121" s="29">
        <v>82</v>
      </c>
    </row>
    <row r="122" spans="5:7" ht="15.6" x14ac:dyDescent="0.3">
      <c r="E122" s="28">
        <v>113</v>
      </c>
      <c r="F122" s="29">
        <v>8</v>
      </c>
      <c r="G122" s="29">
        <v>73</v>
      </c>
    </row>
    <row r="123" spans="5:7" ht="15.6" x14ac:dyDescent="0.3">
      <c r="E123" s="28">
        <v>114</v>
      </c>
      <c r="F123" s="29"/>
      <c r="G123" s="29">
        <v>57</v>
      </c>
    </row>
    <row r="124" spans="5:7" ht="15.6" x14ac:dyDescent="0.3">
      <c r="E124" s="28">
        <v>115</v>
      </c>
      <c r="F124" s="29">
        <v>2</v>
      </c>
      <c r="G124" s="29">
        <v>99</v>
      </c>
    </row>
    <row r="125" spans="5:7" ht="15.6" x14ac:dyDescent="0.3">
      <c r="E125" s="28">
        <v>116</v>
      </c>
      <c r="F125" s="29">
        <v>10</v>
      </c>
      <c r="G125" s="29">
        <v>117</v>
      </c>
    </row>
    <row r="126" spans="5:7" ht="15.6" x14ac:dyDescent="0.3">
      <c r="E126" s="28">
        <v>117</v>
      </c>
      <c r="F126" s="29">
        <v>7</v>
      </c>
      <c r="G126" s="29"/>
    </row>
    <row r="127" spans="5:7" ht="15.6" x14ac:dyDescent="0.3">
      <c r="E127" s="28">
        <v>118</v>
      </c>
      <c r="F127" s="29">
        <v>9</v>
      </c>
      <c r="G127" s="29">
        <v>96</v>
      </c>
    </row>
    <row r="128" spans="5:7" ht="15.6" x14ac:dyDescent="0.3">
      <c r="E128" s="28">
        <v>119</v>
      </c>
      <c r="F128" s="29">
        <v>5</v>
      </c>
      <c r="G128" s="29">
        <v>92</v>
      </c>
    </row>
    <row r="129" spans="5:7" ht="15.6" x14ac:dyDescent="0.3">
      <c r="E129" s="28">
        <v>120</v>
      </c>
      <c r="F129" s="29">
        <v>6</v>
      </c>
      <c r="G129" s="29">
        <v>79</v>
      </c>
    </row>
    <row r="130" spans="5:7" ht="15.6" x14ac:dyDescent="0.3">
      <c r="E130" s="28">
        <v>121</v>
      </c>
      <c r="F130" s="29">
        <v>2</v>
      </c>
      <c r="G130" s="29">
        <v>97</v>
      </c>
    </row>
    <row r="131" spans="5:7" ht="15.6" x14ac:dyDescent="0.3">
      <c r="E131" s="28">
        <v>122</v>
      </c>
      <c r="F131" s="29">
        <v>3</v>
      </c>
      <c r="G131" s="29">
        <v>90</v>
      </c>
    </row>
    <row r="132" spans="5:7" ht="15.6" x14ac:dyDescent="0.3">
      <c r="E132" s="28">
        <v>123</v>
      </c>
      <c r="F132" s="29">
        <v>3</v>
      </c>
      <c r="G132" s="29">
        <v>103</v>
      </c>
    </row>
    <row r="133" spans="5:7" ht="15.6" x14ac:dyDescent="0.3">
      <c r="E133" s="28">
        <v>124</v>
      </c>
      <c r="F133" s="29">
        <v>4</v>
      </c>
      <c r="G133" s="29">
        <v>92</v>
      </c>
    </row>
    <row r="134" spans="5:7" ht="15.6" x14ac:dyDescent="0.3">
      <c r="E134" s="28">
        <v>125</v>
      </c>
      <c r="F134" s="29">
        <v>10</v>
      </c>
      <c r="G134" s="29">
        <v>103</v>
      </c>
    </row>
    <row r="135" spans="5:7" ht="15.6" x14ac:dyDescent="0.3">
      <c r="E135" s="28">
        <v>126</v>
      </c>
      <c r="F135" s="29">
        <v>8</v>
      </c>
      <c r="G135" s="29">
        <v>113</v>
      </c>
    </row>
    <row r="136" spans="5:7" ht="15.6" x14ac:dyDescent="0.3">
      <c r="E136" s="28">
        <v>127</v>
      </c>
      <c r="F136" s="29">
        <v>9</v>
      </c>
      <c r="G136" s="29"/>
    </row>
    <row r="137" spans="5:7" ht="15.6" x14ac:dyDescent="0.3">
      <c r="E137" s="28">
        <v>128</v>
      </c>
      <c r="F137" s="29">
        <v>1</v>
      </c>
      <c r="G137" s="29">
        <v>73</v>
      </c>
    </row>
    <row r="138" spans="5:7" ht="15.6" x14ac:dyDescent="0.3">
      <c r="E138" s="28">
        <v>129</v>
      </c>
      <c r="F138" s="29">
        <v>3</v>
      </c>
      <c r="G138" s="29">
        <v>108</v>
      </c>
    </row>
    <row r="139" spans="5:7" ht="15.6" x14ac:dyDescent="0.3">
      <c r="E139" s="28">
        <v>130</v>
      </c>
      <c r="F139" s="29">
        <v>5</v>
      </c>
      <c r="G139" s="29">
        <v>90</v>
      </c>
    </row>
    <row r="140" spans="5:7" ht="15.6" x14ac:dyDescent="0.3">
      <c r="E140" s="28">
        <v>131</v>
      </c>
      <c r="F140" s="29">
        <v>10</v>
      </c>
      <c r="G140" s="29">
        <v>76</v>
      </c>
    </row>
    <row r="141" spans="5:7" ht="15.6" x14ac:dyDescent="0.3">
      <c r="E141" s="28">
        <v>132</v>
      </c>
      <c r="F141" s="29">
        <v>4</v>
      </c>
      <c r="G141" s="29">
        <v>69</v>
      </c>
    </row>
    <row r="142" spans="5:7" ht="15.6" x14ac:dyDescent="0.3">
      <c r="E142" s="28">
        <v>133</v>
      </c>
      <c r="F142" s="29">
        <v>5</v>
      </c>
      <c r="G142" s="29">
        <v>110</v>
      </c>
    </row>
    <row r="143" spans="5:7" ht="15.6" x14ac:dyDescent="0.3">
      <c r="E143" s="28">
        <v>134</v>
      </c>
      <c r="F143" s="29">
        <v>4</v>
      </c>
      <c r="G143" s="29">
        <v>105</v>
      </c>
    </row>
    <row r="144" spans="5:7" ht="15.6" x14ac:dyDescent="0.3">
      <c r="E144" s="28">
        <v>135</v>
      </c>
      <c r="F144" s="29">
        <v>8</v>
      </c>
      <c r="G144" s="29">
        <v>111</v>
      </c>
    </row>
    <row r="145" spans="5:7" ht="15.6" x14ac:dyDescent="0.3">
      <c r="E145" s="28">
        <v>136</v>
      </c>
      <c r="F145" s="29">
        <v>4</v>
      </c>
      <c r="G145" s="29">
        <v>86</v>
      </c>
    </row>
    <row r="146" spans="5:7" ht="15.6" x14ac:dyDescent="0.3">
      <c r="E146" s="28">
        <v>137</v>
      </c>
      <c r="F146" s="29">
        <v>4</v>
      </c>
      <c r="G146" s="29">
        <v>101</v>
      </c>
    </row>
    <row r="147" spans="5:7" ht="15.6" x14ac:dyDescent="0.3">
      <c r="E147" s="28">
        <v>138</v>
      </c>
      <c r="F147" s="29">
        <v>10</v>
      </c>
      <c r="G147" s="29">
        <v>93</v>
      </c>
    </row>
    <row r="148" spans="5:7" ht="15.6" x14ac:dyDescent="0.3">
      <c r="E148" s="28">
        <v>139</v>
      </c>
      <c r="F148" s="29">
        <v>3</v>
      </c>
      <c r="G148" s="29">
        <v>103</v>
      </c>
    </row>
    <row r="149" spans="5:7" ht="15.6" x14ac:dyDescent="0.3">
      <c r="E149" s="28">
        <v>140</v>
      </c>
      <c r="F149" s="29">
        <v>5</v>
      </c>
      <c r="G149" s="29">
        <v>91</v>
      </c>
    </row>
    <row r="150" spans="5:7" ht="15.6" x14ac:dyDescent="0.3">
      <c r="E150" s="28">
        <v>141</v>
      </c>
      <c r="F150" s="29">
        <v>10</v>
      </c>
      <c r="G150" s="29">
        <v>103</v>
      </c>
    </row>
    <row r="151" spans="5:7" ht="15.6" x14ac:dyDescent="0.3">
      <c r="E151" s="28">
        <v>142</v>
      </c>
      <c r="F151" s="29">
        <v>10</v>
      </c>
      <c r="G151" s="29">
        <v>89</v>
      </c>
    </row>
    <row r="152" spans="5:7" ht="15.6" x14ac:dyDescent="0.3">
      <c r="E152" s="28">
        <v>143</v>
      </c>
      <c r="F152" s="29">
        <v>8</v>
      </c>
      <c r="G152" s="29">
        <v>108</v>
      </c>
    </row>
    <row r="153" spans="5:7" ht="15.6" x14ac:dyDescent="0.3">
      <c r="E153" s="28">
        <v>144</v>
      </c>
      <c r="F153" s="29">
        <v>8</v>
      </c>
      <c r="G153" s="29">
        <v>98</v>
      </c>
    </row>
    <row r="154" spans="5:7" ht="15.6" x14ac:dyDescent="0.3">
      <c r="E154" s="28">
        <v>145</v>
      </c>
      <c r="F154" s="29">
        <v>1</v>
      </c>
      <c r="G154" s="29">
        <v>86</v>
      </c>
    </row>
    <row r="155" spans="5:7" ht="15.6" x14ac:dyDescent="0.3">
      <c r="E155" s="28">
        <v>146</v>
      </c>
      <c r="F155" s="29">
        <v>9</v>
      </c>
      <c r="G155" s="29">
        <v>100</v>
      </c>
    </row>
    <row r="156" spans="5:7" ht="15.6" x14ac:dyDescent="0.3">
      <c r="E156" s="28">
        <v>147</v>
      </c>
      <c r="F156" s="29">
        <v>9</v>
      </c>
      <c r="G156" s="29">
        <v>105</v>
      </c>
    </row>
    <row r="157" spans="5:7" ht="15.6" x14ac:dyDescent="0.3">
      <c r="E157" s="28">
        <v>148</v>
      </c>
      <c r="F157" s="29">
        <v>10</v>
      </c>
      <c r="G157" s="29">
        <v>112</v>
      </c>
    </row>
    <row r="158" spans="5:7" ht="15.6" x14ac:dyDescent="0.3">
      <c r="E158" s="28">
        <v>149</v>
      </c>
      <c r="F158" s="29">
        <v>8</v>
      </c>
      <c r="G158" s="29">
        <v>105</v>
      </c>
    </row>
    <row r="159" spans="5:7" ht="15.6" x14ac:dyDescent="0.3">
      <c r="E159" s="28">
        <v>150</v>
      </c>
      <c r="F159" s="29">
        <v>9</v>
      </c>
      <c r="G159" s="29">
        <v>113</v>
      </c>
    </row>
    <row r="160" spans="5:7" ht="15.6" x14ac:dyDescent="0.3">
      <c r="E160" s="28">
        <v>151</v>
      </c>
      <c r="F160" s="29">
        <v>3</v>
      </c>
      <c r="G160" s="29">
        <v>92</v>
      </c>
    </row>
    <row r="161" spans="5:7" ht="15.6" x14ac:dyDescent="0.3">
      <c r="E161" s="28">
        <v>152</v>
      </c>
      <c r="F161" s="29">
        <v>7</v>
      </c>
      <c r="G161" s="29">
        <v>90</v>
      </c>
    </row>
    <row r="162" spans="5:7" ht="15.6" x14ac:dyDescent="0.3">
      <c r="E162" s="28">
        <v>153</v>
      </c>
      <c r="F162" s="29">
        <v>3</v>
      </c>
      <c r="G162" s="29">
        <v>83</v>
      </c>
    </row>
    <row r="163" spans="5:7" ht="15.6" x14ac:dyDescent="0.3">
      <c r="E163" s="28">
        <v>154</v>
      </c>
      <c r="F163" s="29">
        <v>10</v>
      </c>
      <c r="G163" s="29">
        <v>110</v>
      </c>
    </row>
    <row r="164" spans="5:7" ht="15.6" x14ac:dyDescent="0.3">
      <c r="E164" s="28">
        <v>155</v>
      </c>
      <c r="F164" s="29">
        <v>7</v>
      </c>
      <c r="G164" s="29">
        <v>114</v>
      </c>
    </row>
    <row r="165" spans="5:7" ht="15.6" x14ac:dyDescent="0.3">
      <c r="E165" s="28">
        <v>156</v>
      </c>
      <c r="F165" s="29">
        <v>4</v>
      </c>
      <c r="G165" s="29">
        <v>58</v>
      </c>
    </row>
    <row r="166" spans="5:7" ht="15.6" x14ac:dyDescent="0.3">
      <c r="E166" s="28">
        <v>157</v>
      </c>
      <c r="F166" s="29">
        <v>4</v>
      </c>
      <c r="G166" s="29">
        <v>56</v>
      </c>
    </row>
    <row r="167" spans="5:7" ht="15.6" x14ac:dyDescent="0.3">
      <c r="E167" s="28">
        <v>158</v>
      </c>
      <c r="F167" s="29">
        <v>6</v>
      </c>
      <c r="G167" s="29">
        <v>67</v>
      </c>
    </row>
    <row r="168" spans="5:7" ht="15.6" x14ac:dyDescent="0.3">
      <c r="E168" s="28">
        <v>159</v>
      </c>
      <c r="F168" s="29">
        <v>8</v>
      </c>
      <c r="G168" s="29">
        <v>69</v>
      </c>
    </row>
    <row r="169" spans="5:7" ht="15.6" x14ac:dyDescent="0.3">
      <c r="E169" s="28">
        <v>160</v>
      </c>
      <c r="F169" s="29">
        <v>5</v>
      </c>
      <c r="G169" s="29">
        <v>71</v>
      </c>
    </row>
    <row r="170" spans="5:7" ht="15.6" x14ac:dyDescent="0.3">
      <c r="E170" s="28">
        <v>161</v>
      </c>
      <c r="F170" s="29">
        <v>8</v>
      </c>
      <c r="G170" s="29">
        <v>76</v>
      </c>
    </row>
    <row r="171" spans="5:7" ht="15.6" x14ac:dyDescent="0.3">
      <c r="E171" s="28">
        <v>162</v>
      </c>
      <c r="F171" s="29">
        <v>7</v>
      </c>
      <c r="G171" s="29">
        <v>78</v>
      </c>
    </row>
    <row r="172" spans="5:7" ht="15.6" x14ac:dyDescent="0.3">
      <c r="E172" s="28">
        <v>163</v>
      </c>
      <c r="F172" s="29">
        <v>8</v>
      </c>
      <c r="G172" s="29">
        <v>73</v>
      </c>
    </row>
    <row r="173" spans="5:7" ht="15.6" x14ac:dyDescent="0.3">
      <c r="E173" s="28">
        <v>164</v>
      </c>
      <c r="F173" s="29">
        <v>5</v>
      </c>
      <c r="G173" s="29">
        <v>71</v>
      </c>
    </row>
    <row r="174" spans="5:7" ht="15.6" x14ac:dyDescent="0.3">
      <c r="E174" s="28">
        <v>165</v>
      </c>
      <c r="F174" s="29">
        <v>7</v>
      </c>
      <c r="G174" s="29">
        <v>71</v>
      </c>
    </row>
    <row r="175" spans="5:7" ht="15.6" x14ac:dyDescent="0.3">
      <c r="E175" s="28">
        <v>166</v>
      </c>
      <c r="F175" s="29">
        <v>7</v>
      </c>
      <c r="G175" s="29">
        <v>74</v>
      </c>
    </row>
    <row r="176" spans="5:7" ht="15.6" x14ac:dyDescent="0.3">
      <c r="E176" s="28">
        <v>167</v>
      </c>
      <c r="F176" s="29">
        <v>8</v>
      </c>
      <c r="G176" s="29">
        <v>103</v>
      </c>
    </row>
    <row r="177" spans="5:7" ht="15.6" x14ac:dyDescent="0.3">
      <c r="E177" s="28">
        <v>168</v>
      </c>
      <c r="F177" s="29">
        <v>4</v>
      </c>
      <c r="G177" s="29">
        <v>58</v>
      </c>
    </row>
    <row r="178" spans="5:7" ht="15.6" x14ac:dyDescent="0.3">
      <c r="E178" s="28">
        <v>169</v>
      </c>
      <c r="F178" s="29">
        <v>5</v>
      </c>
      <c r="G178" s="29">
        <v>89</v>
      </c>
    </row>
    <row r="179" spans="5:7" ht="15.6" x14ac:dyDescent="0.3">
      <c r="E179" s="28">
        <v>170</v>
      </c>
      <c r="F179" s="29">
        <v>10</v>
      </c>
      <c r="G179" s="29"/>
    </row>
    <row r="180" spans="5:7" ht="15.6" x14ac:dyDescent="0.3">
      <c r="E180" s="28">
        <v>171</v>
      </c>
      <c r="F180" s="29">
        <v>3</v>
      </c>
      <c r="G180" s="29">
        <v>75</v>
      </c>
    </row>
    <row r="181" spans="5:7" ht="15.6" x14ac:dyDescent="0.3">
      <c r="E181" s="28">
        <v>172</v>
      </c>
      <c r="F181" s="29">
        <v>3</v>
      </c>
      <c r="G181" s="29">
        <v>63</v>
      </c>
    </row>
    <row r="182" spans="5:7" ht="15.6" x14ac:dyDescent="0.3">
      <c r="E182" s="28">
        <v>173</v>
      </c>
      <c r="F182" s="29">
        <v>4</v>
      </c>
      <c r="G182" s="29">
        <v>74</v>
      </c>
    </row>
    <row r="183" spans="5:7" ht="15.6" x14ac:dyDescent="0.3">
      <c r="E183" s="28">
        <v>174</v>
      </c>
      <c r="F183" s="29">
        <v>7</v>
      </c>
      <c r="G183" s="29">
        <v>68</v>
      </c>
    </row>
    <row r="184" spans="5:7" ht="15.6" x14ac:dyDescent="0.3">
      <c r="E184" s="28">
        <v>175</v>
      </c>
      <c r="F184" s="29">
        <v>8</v>
      </c>
      <c r="G184" s="29">
        <v>86</v>
      </c>
    </row>
    <row r="185" spans="5:7" ht="15.6" x14ac:dyDescent="0.3">
      <c r="E185" s="28">
        <v>176</v>
      </c>
      <c r="F185" s="29">
        <v>10</v>
      </c>
      <c r="G185" s="29">
        <v>102</v>
      </c>
    </row>
    <row r="186" spans="5:7" ht="15.6" x14ac:dyDescent="0.3">
      <c r="E186" s="28">
        <v>177</v>
      </c>
      <c r="F186" s="29">
        <v>4</v>
      </c>
      <c r="G186" s="29">
        <v>72</v>
      </c>
    </row>
    <row r="187" spans="5:7" ht="15.6" x14ac:dyDescent="0.3">
      <c r="E187" s="28">
        <v>178</v>
      </c>
      <c r="F187" s="29">
        <v>1</v>
      </c>
      <c r="G187" s="29">
        <v>56</v>
      </c>
    </row>
    <row r="188" spans="5:7" ht="15.6" x14ac:dyDescent="0.3">
      <c r="E188" s="28">
        <v>179</v>
      </c>
      <c r="F188" s="29">
        <v>5</v>
      </c>
      <c r="G188" s="29">
        <v>94</v>
      </c>
    </row>
    <row r="189" spans="5:7" ht="15.6" x14ac:dyDescent="0.3">
      <c r="E189" s="28">
        <v>180</v>
      </c>
      <c r="F189" s="29">
        <v>8</v>
      </c>
      <c r="G189" s="29">
        <v>88</v>
      </c>
    </row>
    <row r="190" spans="5:7" ht="15.6" x14ac:dyDescent="0.3">
      <c r="E190" s="28">
        <v>181</v>
      </c>
      <c r="F190" s="29">
        <v>7</v>
      </c>
      <c r="G190" s="29">
        <v>61</v>
      </c>
    </row>
    <row r="191" spans="5:7" ht="15.6" x14ac:dyDescent="0.3">
      <c r="E191" s="28">
        <v>182</v>
      </c>
      <c r="F191" s="29">
        <v>8</v>
      </c>
      <c r="G191" s="29">
        <v>87</v>
      </c>
    </row>
    <row r="192" spans="5:7" ht="15.6" x14ac:dyDescent="0.3">
      <c r="E192" s="28">
        <v>183</v>
      </c>
      <c r="F192" s="29">
        <v>3</v>
      </c>
      <c r="G192" s="29">
        <v>32</v>
      </c>
    </row>
    <row r="193" spans="5:7" ht="15.6" x14ac:dyDescent="0.3">
      <c r="E193" s="28">
        <v>184</v>
      </c>
      <c r="F193" s="29">
        <v>5</v>
      </c>
      <c r="G193" s="29">
        <v>88</v>
      </c>
    </row>
    <row r="194" spans="5:7" ht="15.6" x14ac:dyDescent="0.3">
      <c r="E194" s="28">
        <v>185</v>
      </c>
      <c r="F194" s="29">
        <v>9</v>
      </c>
      <c r="G194" s="29">
        <v>85</v>
      </c>
    </row>
    <row r="195" spans="5:7" ht="15.6" x14ac:dyDescent="0.3">
      <c r="E195" s="28">
        <v>186</v>
      </c>
      <c r="F195" s="29">
        <v>2</v>
      </c>
      <c r="G195" s="29">
        <v>85</v>
      </c>
    </row>
    <row r="196" spans="5:7" ht="15.6" x14ac:dyDescent="0.3">
      <c r="E196" s="28">
        <v>187</v>
      </c>
      <c r="F196" s="29">
        <v>7</v>
      </c>
      <c r="G196" s="29">
        <v>101</v>
      </c>
    </row>
    <row r="197" spans="5:7" ht="15.6" x14ac:dyDescent="0.3">
      <c r="E197" s="28">
        <v>188</v>
      </c>
      <c r="F197" s="29">
        <v>5</v>
      </c>
      <c r="G197" s="29">
        <v>72</v>
      </c>
    </row>
    <row r="198" spans="5:7" ht="15.6" x14ac:dyDescent="0.3">
      <c r="E198" s="28">
        <v>189</v>
      </c>
      <c r="F198" s="29">
        <v>5</v>
      </c>
      <c r="G198" s="29">
        <v>94</v>
      </c>
    </row>
    <row r="199" spans="5:7" ht="15.6" x14ac:dyDescent="0.3">
      <c r="E199" s="28">
        <v>190</v>
      </c>
      <c r="F199" s="29">
        <v>5</v>
      </c>
      <c r="G199" s="29">
        <v>88</v>
      </c>
    </row>
    <row r="200" spans="5:7" ht="15.6" x14ac:dyDescent="0.3">
      <c r="E200" s="28">
        <v>191</v>
      </c>
      <c r="F200" s="29">
        <v>4</v>
      </c>
      <c r="G200" s="29">
        <v>94</v>
      </c>
    </row>
    <row r="201" spans="5:7" ht="15.6" x14ac:dyDescent="0.3">
      <c r="E201" s="28">
        <v>192</v>
      </c>
      <c r="F201" s="29">
        <v>7</v>
      </c>
      <c r="G201" s="29">
        <v>95</v>
      </c>
    </row>
    <row r="202" spans="5:7" ht="15.6" x14ac:dyDescent="0.3">
      <c r="E202" s="28">
        <v>193</v>
      </c>
      <c r="F202" s="29">
        <v>8</v>
      </c>
      <c r="G202" s="29">
        <v>105</v>
      </c>
    </row>
    <row r="203" spans="5:7" ht="15.6" x14ac:dyDescent="0.3">
      <c r="E203" s="28">
        <v>194</v>
      </c>
      <c r="F203" s="29">
        <v>1</v>
      </c>
      <c r="G203" s="29">
        <v>53</v>
      </c>
    </row>
    <row r="204" spans="5:7" ht="15.6" x14ac:dyDescent="0.3">
      <c r="E204" s="28">
        <v>195</v>
      </c>
      <c r="F204" s="29">
        <v>9</v>
      </c>
      <c r="G204" s="29">
        <v>88</v>
      </c>
    </row>
    <row r="205" spans="5:7" ht="15.6" x14ac:dyDescent="0.3">
      <c r="E205" s="28">
        <v>196</v>
      </c>
      <c r="F205" s="29">
        <v>9</v>
      </c>
      <c r="G205" s="29">
        <v>105</v>
      </c>
    </row>
    <row r="206" spans="5:7" ht="15.6" x14ac:dyDescent="0.3">
      <c r="E206" s="28">
        <v>197</v>
      </c>
      <c r="F206" s="29">
        <v>10</v>
      </c>
      <c r="G206" s="29">
        <v>100</v>
      </c>
    </row>
    <row r="207" spans="5:7" ht="15.6" x14ac:dyDescent="0.3">
      <c r="E207" s="28">
        <v>198</v>
      </c>
      <c r="F207" s="29">
        <v>5</v>
      </c>
      <c r="G207" s="29">
        <v>108</v>
      </c>
    </row>
    <row r="208" spans="5:7" ht="15.6" x14ac:dyDescent="0.3">
      <c r="E208" s="28">
        <v>199</v>
      </c>
      <c r="F208" s="29">
        <v>6</v>
      </c>
      <c r="G208" s="29">
        <v>93</v>
      </c>
    </row>
    <row r="209" spans="5:7" ht="15.6" x14ac:dyDescent="0.3">
      <c r="E209" s="28">
        <v>200</v>
      </c>
      <c r="F209" s="29">
        <v>4</v>
      </c>
      <c r="G209" s="29">
        <v>72</v>
      </c>
    </row>
    <row r="210" spans="5:7" ht="15.6" x14ac:dyDescent="0.3">
      <c r="E210" s="28">
        <v>201</v>
      </c>
      <c r="F210" s="29">
        <v>3</v>
      </c>
      <c r="G210" s="29">
        <v>99</v>
      </c>
    </row>
    <row r="211" spans="5:7" ht="15.6" x14ac:dyDescent="0.3">
      <c r="E211" s="28">
        <v>202</v>
      </c>
      <c r="F211" s="29">
        <v>2</v>
      </c>
      <c r="G211" s="29">
        <v>96</v>
      </c>
    </row>
    <row r="212" spans="5:7" ht="15.6" x14ac:dyDescent="0.3">
      <c r="E212" s="28">
        <v>203</v>
      </c>
      <c r="F212" s="29">
        <v>3</v>
      </c>
      <c r="G212" s="29">
        <v>66</v>
      </c>
    </row>
    <row r="213" spans="5:7" ht="15.6" x14ac:dyDescent="0.3">
      <c r="E213" s="28">
        <v>204</v>
      </c>
      <c r="F213" s="29">
        <v>2</v>
      </c>
      <c r="G213" s="29">
        <v>98</v>
      </c>
    </row>
    <row r="214" spans="5:7" ht="15.6" x14ac:dyDescent="0.3">
      <c r="E214" s="28">
        <v>205</v>
      </c>
      <c r="F214" s="29">
        <v>9</v>
      </c>
      <c r="G214" s="29">
        <v>87</v>
      </c>
    </row>
    <row r="215" spans="5:7" ht="15.6" x14ac:dyDescent="0.3">
      <c r="E215" s="28">
        <v>206</v>
      </c>
      <c r="F215" s="29">
        <v>8</v>
      </c>
      <c r="G215" s="29">
        <v>111</v>
      </c>
    </row>
    <row r="216" spans="5:7" ht="15.6" x14ac:dyDescent="0.3">
      <c r="E216" s="28">
        <v>207</v>
      </c>
      <c r="F216" s="29">
        <v>4</v>
      </c>
      <c r="G216" s="29">
        <v>70</v>
      </c>
    </row>
    <row r="217" spans="5:7" ht="15.6" x14ac:dyDescent="0.3">
      <c r="E217" s="28">
        <v>208</v>
      </c>
      <c r="F217" s="29">
        <v>7</v>
      </c>
      <c r="G217" s="29">
        <v>94</v>
      </c>
    </row>
    <row r="218" spans="5:7" ht="15.6" x14ac:dyDescent="0.3">
      <c r="E218" s="28">
        <v>209</v>
      </c>
      <c r="F218" s="29">
        <v>9</v>
      </c>
      <c r="G218" s="29">
        <v>112</v>
      </c>
    </row>
    <row r="219" spans="5:7" ht="15.6" x14ac:dyDescent="0.3">
      <c r="E219" s="28">
        <v>210</v>
      </c>
      <c r="F219" s="29">
        <v>10</v>
      </c>
      <c r="G219" s="29">
        <v>100</v>
      </c>
    </row>
    <row r="220" spans="5:7" ht="15.6" x14ac:dyDescent="0.3">
      <c r="E220" s="28">
        <v>211</v>
      </c>
      <c r="F220" s="29">
        <v>3</v>
      </c>
      <c r="G220" s="29">
        <v>88</v>
      </c>
    </row>
    <row r="221" spans="5:7" ht="15.6" x14ac:dyDescent="0.3">
      <c r="E221" s="28">
        <v>212</v>
      </c>
      <c r="F221" s="29">
        <v>7</v>
      </c>
      <c r="G221" s="29">
        <v>89</v>
      </c>
    </row>
    <row r="222" spans="5:7" ht="15.6" x14ac:dyDescent="0.3">
      <c r="E222" s="28">
        <v>213</v>
      </c>
      <c r="F222" s="29">
        <v>5</v>
      </c>
      <c r="G222" s="29">
        <v>83</v>
      </c>
    </row>
    <row r="223" spans="5:7" ht="15.6" x14ac:dyDescent="0.3">
      <c r="E223" s="28">
        <v>214</v>
      </c>
      <c r="F223" s="29">
        <v>10</v>
      </c>
      <c r="G223" s="29">
        <v>106</v>
      </c>
    </row>
    <row r="224" spans="5:7" ht="15.6" x14ac:dyDescent="0.3">
      <c r="E224" s="28">
        <v>215</v>
      </c>
      <c r="F224" s="29">
        <v>6</v>
      </c>
      <c r="G224" s="29">
        <v>101</v>
      </c>
    </row>
    <row r="225" spans="5:7" ht="15.6" x14ac:dyDescent="0.3">
      <c r="E225" s="28">
        <v>216</v>
      </c>
      <c r="F225" s="29">
        <v>8</v>
      </c>
      <c r="G225" s="29">
        <v>93</v>
      </c>
    </row>
    <row r="226" spans="5:7" ht="15.6" x14ac:dyDescent="0.3">
      <c r="E226" s="28">
        <v>217</v>
      </c>
      <c r="F226" s="29">
        <v>9</v>
      </c>
      <c r="G226" s="29">
        <v>110</v>
      </c>
    </row>
    <row r="227" spans="5:7" ht="15.6" x14ac:dyDescent="0.3">
      <c r="E227" s="28">
        <v>218</v>
      </c>
      <c r="F227" s="29">
        <v>4</v>
      </c>
      <c r="G227" s="29">
        <v>93</v>
      </c>
    </row>
    <row r="228" spans="5:7" ht="15.6" x14ac:dyDescent="0.3">
      <c r="E228" s="28">
        <v>219</v>
      </c>
      <c r="F228" s="29">
        <v>3</v>
      </c>
      <c r="G228" s="29">
        <v>97</v>
      </c>
    </row>
    <row r="229" spans="5:7" ht="15.6" x14ac:dyDescent="0.3">
      <c r="E229" s="28">
        <v>220</v>
      </c>
      <c r="F229" s="29">
        <v>7</v>
      </c>
      <c r="G229" s="29">
        <v>99</v>
      </c>
    </row>
    <row r="230" spans="5:7" ht="15.6" x14ac:dyDescent="0.3">
      <c r="E230" s="28">
        <v>221</v>
      </c>
      <c r="F230" s="29">
        <v>8</v>
      </c>
      <c r="G230" s="29">
        <v>86</v>
      </c>
    </row>
    <row r="231" spans="5:7" ht="15.6" x14ac:dyDescent="0.3">
      <c r="E231" s="28">
        <v>222</v>
      </c>
      <c r="F231" s="29">
        <v>7</v>
      </c>
      <c r="G231" s="29">
        <v>104</v>
      </c>
    </row>
    <row r="232" spans="5:7" ht="15.6" x14ac:dyDescent="0.3">
      <c r="E232" s="28">
        <v>223</v>
      </c>
      <c r="F232" s="29">
        <v>4</v>
      </c>
      <c r="G232" s="29">
        <v>107</v>
      </c>
    </row>
    <row r="233" spans="5:7" ht="15.6" x14ac:dyDescent="0.3">
      <c r="E233" s="28">
        <v>224</v>
      </c>
      <c r="F233" s="29">
        <v>9</v>
      </c>
      <c r="G233" s="29">
        <v>75</v>
      </c>
    </row>
    <row r="234" spans="5:7" ht="15.6" x14ac:dyDescent="0.3">
      <c r="E234" s="28">
        <v>225</v>
      </c>
      <c r="F234" s="29">
        <v>9</v>
      </c>
      <c r="G234" s="29"/>
    </row>
    <row r="235" spans="5:7" ht="15.6" x14ac:dyDescent="0.3">
      <c r="E235" s="28">
        <v>226</v>
      </c>
      <c r="F235" s="29">
        <v>8</v>
      </c>
      <c r="G235" s="29">
        <v>92</v>
      </c>
    </row>
    <row r="236" spans="5:7" ht="15.6" x14ac:dyDescent="0.3">
      <c r="E236" s="28">
        <v>227</v>
      </c>
      <c r="F236" s="29">
        <v>9</v>
      </c>
      <c r="G236" s="29">
        <v>76</v>
      </c>
    </row>
    <row r="237" spans="5:7" ht="15.6" x14ac:dyDescent="0.3">
      <c r="E237" s="28">
        <v>228</v>
      </c>
      <c r="F237" s="29">
        <v>7</v>
      </c>
      <c r="G237" s="29">
        <v>84</v>
      </c>
    </row>
    <row r="238" spans="5:7" ht="15.6" x14ac:dyDescent="0.3">
      <c r="E238" s="28">
        <v>229</v>
      </c>
      <c r="F238" s="29">
        <v>6</v>
      </c>
      <c r="G238" s="29">
        <v>63</v>
      </c>
    </row>
    <row r="239" spans="5:7" ht="15.6" x14ac:dyDescent="0.3">
      <c r="E239" s="28">
        <v>230</v>
      </c>
      <c r="F239" s="29">
        <v>4</v>
      </c>
      <c r="G239" s="29">
        <v>92</v>
      </c>
    </row>
    <row r="240" spans="5:7" ht="15.6" x14ac:dyDescent="0.3">
      <c r="E240" s="28">
        <v>231</v>
      </c>
      <c r="F240" s="29">
        <v>8</v>
      </c>
      <c r="G240" s="29">
        <v>113</v>
      </c>
    </row>
    <row r="241" spans="5:7" ht="15.6" x14ac:dyDescent="0.3">
      <c r="E241" s="28">
        <v>232</v>
      </c>
      <c r="F241" s="29">
        <v>9</v>
      </c>
      <c r="G241" s="29">
        <v>110</v>
      </c>
    </row>
    <row r="242" spans="5:7" ht="15.6" x14ac:dyDescent="0.3">
      <c r="E242" s="28">
        <v>233</v>
      </c>
      <c r="F242" s="29">
        <v>5</v>
      </c>
      <c r="G242" s="29">
        <v>96</v>
      </c>
    </row>
    <row r="243" spans="5:7" ht="15.6" x14ac:dyDescent="0.3">
      <c r="E243" s="28">
        <v>234</v>
      </c>
      <c r="F243" s="29">
        <v>5</v>
      </c>
      <c r="G243" s="29">
        <v>64</v>
      </c>
    </row>
    <row r="244" spans="5:7" ht="15.6" x14ac:dyDescent="0.3">
      <c r="E244" s="28">
        <v>235</v>
      </c>
      <c r="F244" s="29">
        <v>9</v>
      </c>
      <c r="G244" s="29">
        <v>74</v>
      </c>
    </row>
    <row r="245" spans="5:7" ht="15.6" x14ac:dyDescent="0.3">
      <c r="E245" s="28">
        <v>236</v>
      </c>
      <c r="F245" s="29">
        <v>9</v>
      </c>
      <c r="G245" s="29">
        <v>112</v>
      </c>
    </row>
    <row r="246" spans="5:7" ht="15.6" x14ac:dyDescent="0.3">
      <c r="E246" s="28">
        <v>237</v>
      </c>
      <c r="F246" s="29">
        <v>9</v>
      </c>
      <c r="G246" s="29">
        <v>82</v>
      </c>
    </row>
    <row r="247" spans="5:7" ht="15.6" x14ac:dyDescent="0.3">
      <c r="E247" s="28">
        <v>238</v>
      </c>
      <c r="F247" s="29">
        <v>10</v>
      </c>
      <c r="G247" s="29">
        <v>97</v>
      </c>
    </row>
    <row r="248" spans="5:7" ht="15.6" x14ac:dyDescent="0.3">
      <c r="E248" s="28">
        <v>239</v>
      </c>
      <c r="F248" s="29">
        <v>6</v>
      </c>
      <c r="G248" s="29">
        <v>109</v>
      </c>
    </row>
    <row r="249" spans="5:7" ht="15.6" x14ac:dyDescent="0.3">
      <c r="E249" s="28">
        <v>240</v>
      </c>
      <c r="F249" s="29">
        <v>10</v>
      </c>
      <c r="G249" s="29">
        <v>85</v>
      </c>
    </row>
    <row r="250" spans="5:7" ht="15.6" x14ac:dyDescent="0.3">
      <c r="E250" s="28">
        <v>241</v>
      </c>
      <c r="F250" s="29">
        <v>8</v>
      </c>
      <c r="G250" s="29">
        <v>108</v>
      </c>
    </row>
    <row r="251" spans="5:7" ht="15.6" x14ac:dyDescent="0.3">
      <c r="E251" s="28">
        <v>242</v>
      </c>
      <c r="F251" s="29">
        <v>2</v>
      </c>
      <c r="G251" s="29">
        <v>64</v>
      </c>
    </row>
    <row r="252" spans="5:7" ht="15.6" x14ac:dyDescent="0.3">
      <c r="E252" s="28">
        <v>243</v>
      </c>
      <c r="F252" s="29">
        <v>7</v>
      </c>
      <c r="G252" s="29">
        <v>101</v>
      </c>
    </row>
    <row r="253" spans="5:7" ht="15.6" x14ac:dyDescent="0.3">
      <c r="E253" s="28">
        <v>244</v>
      </c>
      <c r="F253" s="29">
        <v>3</v>
      </c>
      <c r="G253" s="29">
        <v>78</v>
      </c>
    </row>
    <row r="254" spans="5:7" ht="15.6" x14ac:dyDescent="0.3">
      <c r="E254" s="28">
        <v>245</v>
      </c>
      <c r="F254" s="29">
        <v>7</v>
      </c>
      <c r="G254" s="29">
        <v>104</v>
      </c>
    </row>
    <row r="255" spans="5:7" ht="15.6" x14ac:dyDescent="0.3">
      <c r="E255" s="28">
        <v>246</v>
      </c>
      <c r="F255" s="29">
        <v>3</v>
      </c>
      <c r="G255" s="29">
        <v>81</v>
      </c>
    </row>
    <row r="256" spans="5:7" ht="15.6" x14ac:dyDescent="0.3">
      <c r="E256" s="28">
        <v>247</v>
      </c>
      <c r="F256" s="29">
        <v>6</v>
      </c>
      <c r="G256" s="29">
        <v>113</v>
      </c>
    </row>
    <row r="257" spans="5:7" ht="15.6" x14ac:dyDescent="0.3">
      <c r="E257" s="28">
        <v>248</v>
      </c>
      <c r="F257" s="29">
        <v>9</v>
      </c>
      <c r="G257" s="29">
        <v>107</v>
      </c>
    </row>
    <row r="258" spans="5:7" ht="15.6" x14ac:dyDescent="0.3">
      <c r="E258" s="28">
        <v>249</v>
      </c>
      <c r="F258" s="29">
        <v>8</v>
      </c>
      <c r="G258" s="29">
        <v>74</v>
      </c>
    </row>
    <row r="259" spans="5:7" ht="15.6" x14ac:dyDescent="0.3">
      <c r="E259" s="28">
        <v>250</v>
      </c>
      <c r="F259" s="29">
        <v>4</v>
      </c>
      <c r="G259" s="29">
        <v>94</v>
      </c>
    </row>
    <row r="260" spans="5:7" ht="15.6" x14ac:dyDescent="0.3">
      <c r="E260" s="28">
        <v>251</v>
      </c>
      <c r="F260" s="29">
        <v>6</v>
      </c>
      <c r="G260" s="29">
        <v>85</v>
      </c>
    </row>
    <row r="261" spans="5:7" ht="15.6" x14ac:dyDescent="0.3">
      <c r="E261" s="28">
        <v>252</v>
      </c>
      <c r="F261" s="29">
        <v>7</v>
      </c>
      <c r="G261" s="29">
        <v>111</v>
      </c>
    </row>
    <row r="262" spans="5:7" ht="15.6" x14ac:dyDescent="0.3">
      <c r="E262" s="28">
        <v>253</v>
      </c>
      <c r="F262" s="29">
        <v>9</v>
      </c>
      <c r="G262" s="29">
        <v>110</v>
      </c>
    </row>
    <row r="263" spans="5:7" ht="15.6" x14ac:dyDescent="0.3">
      <c r="E263" s="28">
        <v>254</v>
      </c>
      <c r="F263" s="29">
        <v>4</v>
      </c>
      <c r="G263" s="29">
        <v>117</v>
      </c>
    </row>
    <row r="264" spans="5:7" ht="15.6" x14ac:dyDescent="0.3">
      <c r="E264" s="28">
        <v>255</v>
      </c>
      <c r="F264" s="29">
        <v>8</v>
      </c>
      <c r="G264" s="29">
        <v>103</v>
      </c>
    </row>
    <row r="265" spans="5:7" ht="15.6" x14ac:dyDescent="0.3">
      <c r="E265" s="28">
        <v>256</v>
      </c>
      <c r="F265" s="29">
        <v>4</v>
      </c>
      <c r="G265" s="29">
        <v>103</v>
      </c>
    </row>
    <row r="266" spans="5:7" ht="15.6" x14ac:dyDescent="0.3">
      <c r="E266" s="28">
        <v>257</v>
      </c>
      <c r="F266" s="29">
        <v>4</v>
      </c>
      <c r="G266" s="29">
        <v>75</v>
      </c>
    </row>
    <row r="267" spans="5:7" ht="15.6" x14ac:dyDescent="0.3">
      <c r="E267" s="28">
        <v>258</v>
      </c>
      <c r="F267" s="29">
        <v>1</v>
      </c>
      <c r="G267" s="29">
        <v>78</v>
      </c>
    </row>
    <row r="268" spans="5:7" ht="15.6" x14ac:dyDescent="0.3">
      <c r="E268" s="28">
        <v>259</v>
      </c>
      <c r="F268" s="29">
        <v>5</v>
      </c>
      <c r="G268" s="29">
        <v>98</v>
      </c>
    </row>
    <row r="269" spans="5:7" ht="15.6" x14ac:dyDescent="0.3">
      <c r="E269" s="28">
        <v>260</v>
      </c>
      <c r="F269" s="29">
        <v>8</v>
      </c>
      <c r="G269" s="29">
        <v>93</v>
      </c>
    </row>
    <row r="270" spans="5:7" ht="15.6" x14ac:dyDescent="0.3">
      <c r="E270" s="28">
        <v>261</v>
      </c>
      <c r="F270" s="29">
        <v>7</v>
      </c>
      <c r="G270" s="29">
        <v>79</v>
      </c>
    </row>
    <row r="271" spans="5:7" ht="15.6" x14ac:dyDescent="0.3">
      <c r="E271" s="28">
        <v>262</v>
      </c>
      <c r="F271" s="29">
        <v>5</v>
      </c>
      <c r="G271" s="29">
        <v>105</v>
      </c>
    </row>
    <row r="272" spans="5:7" ht="15.6" x14ac:dyDescent="0.3">
      <c r="E272" s="28">
        <v>263</v>
      </c>
      <c r="F272" s="29">
        <v>5</v>
      </c>
      <c r="G272" s="29">
        <v>109</v>
      </c>
    </row>
    <row r="273" spans="5:7" ht="15.6" x14ac:dyDescent="0.3">
      <c r="E273" s="28">
        <v>264</v>
      </c>
      <c r="F273" s="29">
        <v>5</v>
      </c>
      <c r="G273" s="29">
        <v>83</v>
      </c>
    </row>
    <row r="274" spans="5:7" ht="15.6" x14ac:dyDescent="0.3">
      <c r="E274" s="28">
        <v>265</v>
      </c>
      <c r="F274" s="29">
        <v>3</v>
      </c>
      <c r="G274" s="29"/>
    </row>
    <row r="275" spans="5:7" ht="15.6" x14ac:dyDescent="0.3">
      <c r="E275" s="28">
        <v>266</v>
      </c>
      <c r="F275" s="29">
        <v>5</v>
      </c>
      <c r="G275" s="29">
        <v>104</v>
      </c>
    </row>
    <row r="276" spans="5:7" ht="15.6" x14ac:dyDescent="0.3">
      <c r="E276" s="28">
        <v>267</v>
      </c>
      <c r="F276" s="29">
        <v>2</v>
      </c>
      <c r="G276" s="29"/>
    </row>
    <row r="277" spans="5:7" ht="15.6" x14ac:dyDescent="0.3">
      <c r="E277" s="28">
        <v>268</v>
      </c>
      <c r="F277" s="29">
        <v>4</v>
      </c>
      <c r="G277" s="29"/>
    </row>
    <row r="278" spans="5:7" ht="15.6" x14ac:dyDescent="0.3">
      <c r="E278" s="28">
        <v>269</v>
      </c>
      <c r="F278" s="29">
        <v>2</v>
      </c>
      <c r="G278" s="29">
        <v>62</v>
      </c>
    </row>
    <row r="279" spans="5:7" ht="15.6" x14ac:dyDescent="0.3">
      <c r="E279" s="28">
        <v>270</v>
      </c>
      <c r="F279" s="29">
        <v>4</v>
      </c>
      <c r="G279" s="29">
        <v>56</v>
      </c>
    </row>
    <row r="280" spans="5:7" ht="15.6" x14ac:dyDescent="0.3">
      <c r="E280" s="28">
        <v>271</v>
      </c>
      <c r="F280" s="29">
        <v>9</v>
      </c>
      <c r="G280" s="29">
        <v>84</v>
      </c>
    </row>
    <row r="281" spans="5:7" ht="15.6" x14ac:dyDescent="0.3">
      <c r="E281" s="28">
        <v>272</v>
      </c>
      <c r="F281" s="29">
        <v>4</v>
      </c>
      <c r="G281" s="29">
        <v>68</v>
      </c>
    </row>
    <row r="282" spans="5:7" ht="15.6" x14ac:dyDescent="0.3">
      <c r="E282" s="28">
        <v>273</v>
      </c>
      <c r="F282" s="29">
        <v>3</v>
      </c>
      <c r="G282" s="29">
        <v>54</v>
      </c>
    </row>
    <row r="283" spans="5:7" ht="15.6" x14ac:dyDescent="0.3">
      <c r="E283" s="28">
        <v>274</v>
      </c>
      <c r="F283" s="29">
        <v>10</v>
      </c>
      <c r="G283" s="29">
        <v>105</v>
      </c>
    </row>
    <row r="284" spans="5:7" ht="15.6" x14ac:dyDescent="0.3">
      <c r="E284" s="28">
        <v>275</v>
      </c>
      <c r="F284" s="29">
        <v>3</v>
      </c>
      <c r="G284" s="29"/>
    </row>
    <row r="285" spans="5:7" ht="15.6" x14ac:dyDescent="0.3">
      <c r="E285" s="28">
        <v>276</v>
      </c>
      <c r="F285" s="29">
        <v>7</v>
      </c>
      <c r="G285" s="29"/>
    </row>
    <row r="286" spans="5:7" ht="15.6" x14ac:dyDescent="0.3">
      <c r="E286" s="28">
        <v>277</v>
      </c>
      <c r="F286" s="29">
        <v>2</v>
      </c>
      <c r="G286" s="29">
        <v>83</v>
      </c>
    </row>
    <row r="287" spans="5:7" ht="15.6" x14ac:dyDescent="0.3">
      <c r="E287" s="28">
        <v>278</v>
      </c>
      <c r="F287" s="29">
        <v>4</v>
      </c>
      <c r="G287" s="29">
        <v>102</v>
      </c>
    </row>
    <row r="288" spans="5:7" ht="15.6" x14ac:dyDescent="0.3">
      <c r="E288" s="28">
        <v>279</v>
      </c>
      <c r="F288" s="29">
        <v>7</v>
      </c>
      <c r="G288" s="29">
        <v>71</v>
      </c>
    </row>
    <row r="289" spans="5:7" ht="15.6" x14ac:dyDescent="0.3">
      <c r="E289" s="28">
        <v>280</v>
      </c>
      <c r="F289" s="29">
        <v>8</v>
      </c>
      <c r="G289" s="29">
        <v>93</v>
      </c>
    </row>
    <row r="290" spans="5:7" ht="15.6" x14ac:dyDescent="0.3">
      <c r="E290" s="28">
        <v>281</v>
      </c>
      <c r="F290" s="29">
        <v>9</v>
      </c>
      <c r="G290" s="29">
        <v>116</v>
      </c>
    </row>
    <row r="291" spans="5:7" ht="15.6" x14ac:dyDescent="0.3">
      <c r="E291" s="28">
        <v>282</v>
      </c>
      <c r="F291" s="29">
        <v>8</v>
      </c>
      <c r="G291" s="29">
        <v>102</v>
      </c>
    </row>
    <row r="292" spans="5:7" ht="15.6" x14ac:dyDescent="0.3">
      <c r="E292" s="28">
        <v>283</v>
      </c>
      <c r="F292" s="29">
        <v>7</v>
      </c>
      <c r="G292" s="29">
        <v>98</v>
      </c>
    </row>
    <row r="293" spans="5:7" ht="15.6" x14ac:dyDescent="0.3">
      <c r="E293" s="28">
        <v>284</v>
      </c>
      <c r="F293" s="29">
        <v>10</v>
      </c>
      <c r="G293" s="29">
        <v>108</v>
      </c>
    </row>
    <row r="294" spans="5:7" ht="15.6" x14ac:dyDescent="0.3">
      <c r="E294" s="28">
        <v>285</v>
      </c>
      <c r="F294" s="29">
        <v>8</v>
      </c>
      <c r="G294" s="29">
        <v>85</v>
      </c>
    </row>
    <row r="295" spans="5:7" ht="15.6" x14ac:dyDescent="0.3">
      <c r="E295" s="28">
        <v>286</v>
      </c>
      <c r="F295" s="29">
        <v>4</v>
      </c>
      <c r="G295" s="29">
        <v>115</v>
      </c>
    </row>
    <row r="296" spans="5:7" ht="15.6" x14ac:dyDescent="0.3">
      <c r="E296" s="28">
        <v>287</v>
      </c>
      <c r="F296" s="29">
        <v>7</v>
      </c>
      <c r="G296" s="29">
        <v>102</v>
      </c>
    </row>
    <row r="297" spans="5:7" ht="15.6" x14ac:dyDescent="0.3">
      <c r="E297" s="28">
        <v>288</v>
      </c>
      <c r="F297" s="29">
        <v>2</v>
      </c>
      <c r="G297" s="29">
        <v>94</v>
      </c>
    </row>
    <row r="298" spans="5:7" ht="15.6" x14ac:dyDescent="0.3">
      <c r="E298" s="28">
        <v>289</v>
      </c>
      <c r="F298" s="29">
        <v>1</v>
      </c>
      <c r="G298" s="29">
        <v>78</v>
      </c>
    </row>
    <row r="299" spans="5:7" ht="15.6" x14ac:dyDescent="0.3">
      <c r="E299" s="28">
        <v>290</v>
      </c>
      <c r="F299" s="29">
        <v>8</v>
      </c>
      <c r="G299" s="29">
        <v>41</v>
      </c>
    </row>
    <row r="300" spans="5:7" ht="15.6" x14ac:dyDescent="0.3">
      <c r="E300" s="28">
        <v>291</v>
      </c>
      <c r="F300" s="29">
        <v>3</v>
      </c>
      <c r="G300" s="29">
        <v>72</v>
      </c>
    </row>
    <row r="301" spans="5:7" ht="15.6" x14ac:dyDescent="0.3">
      <c r="E301" s="28">
        <v>292</v>
      </c>
      <c r="F301" s="29">
        <v>1</v>
      </c>
      <c r="G301" s="29">
        <v>80</v>
      </c>
    </row>
    <row r="302" spans="5:7" ht="15.6" x14ac:dyDescent="0.3">
      <c r="E302" s="28">
        <v>293</v>
      </c>
      <c r="F302" s="29">
        <v>9</v>
      </c>
      <c r="G302" s="29">
        <v>110</v>
      </c>
    </row>
    <row r="303" spans="5:7" ht="15.6" x14ac:dyDescent="0.3">
      <c r="E303" s="28">
        <v>294</v>
      </c>
      <c r="F303" s="29">
        <v>5</v>
      </c>
      <c r="G303" s="29">
        <v>67</v>
      </c>
    </row>
    <row r="304" spans="5:7" ht="15.6" x14ac:dyDescent="0.3">
      <c r="E304" s="28">
        <v>295</v>
      </c>
      <c r="F304" s="29">
        <v>6</v>
      </c>
      <c r="G304" s="29">
        <v>88</v>
      </c>
    </row>
    <row r="305" spans="5:7" ht="15.6" x14ac:dyDescent="0.3">
      <c r="E305" s="28">
        <v>296</v>
      </c>
      <c r="F305" s="29">
        <v>7</v>
      </c>
      <c r="G305" s="29">
        <v>98</v>
      </c>
    </row>
    <row r="306" spans="5:7" ht="15.6" x14ac:dyDescent="0.3">
      <c r="E306" s="28">
        <v>297</v>
      </c>
      <c r="F306" s="29">
        <v>8</v>
      </c>
      <c r="G306" s="29">
        <v>117</v>
      </c>
    </row>
    <row r="307" spans="5:7" ht="15.6" x14ac:dyDescent="0.3">
      <c r="E307" s="28">
        <v>298</v>
      </c>
      <c r="F307" s="29">
        <v>10</v>
      </c>
      <c r="G307" s="29">
        <v>119</v>
      </c>
    </row>
    <row r="308" spans="5:7" ht="15.6" x14ac:dyDescent="0.3">
      <c r="E308" s="28">
        <v>299</v>
      </c>
      <c r="F308" s="29">
        <v>8</v>
      </c>
      <c r="G308" s="29">
        <v>117</v>
      </c>
    </row>
    <row r="309" spans="5:7" ht="15.6" x14ac:dyDescent="0.3">
      <c r="E309" s="28">
        <v>300</v>
      </c>
      <c r="F309" s="29">
        <v>8</v>
      </c>
      <c r="G309" s="29">
        <v>117</v>
      </c>
    </row>
    <row r="310" spans="5:7" ht="15.6" x14ac:dyDescent="0.3">
      <c r="E310" s="28">
        <v>301</v>
      </c>
      <c r="F310" s="29">
        <v>7</v>
      </c>
      <c r="G310" s="29">
        <v>112</v>
      </c>
    </row>
    <row r="311" spans="5:7" ht="15.6" x14ac:dyDescent="0.3">
      <c r="E311" s="28">
        <v>302</v>
      </c>
      <c r="F311" s="29">
        <v>10</v>
      </c>
      <c r="G311" s="29">
        <v>107</v>
      </c>
    </row>
    <row r="312" spans="5:7" ht="15.6" x14ac:dyDescent="0.3">
      <c r="E312" s="28">
        <v>303</v>
      </c>
      <c r="F312" s="29">
        <v>10</v>
      </c>
      <c r="G312" s="29">
        <v>119</v>
      </c>
    </row>
    <row r="313" spans="5:7" ht="15.6" x14ac:dyDescent="0.3">
      <c r="E313" s="28">
        <v>304</v>
      </c>
      <c r="F313" s="29">
        <v>9</v>
      </c>
      <c r="G313" s="29">
        <v>111</v>
      </c>
    </row>
    <row r="314" spans="5:7" ht="15.6" x14ac:dyDescent="0.3">
      <c r="E314" s="28">
        <v>305</v>
      </c>
      <c r="F314" s="29">
        <v>4</v>
      </c>
      <c r="G314" s="29">
        <v>116</v>
      </c>
    </row>
    <row r="315" spans="5:7" ht="15.6" x14ac:dyDescent="0.3">
      <c r="E315" s="28">
        <v>306</v>
      </c>
      <c r="F315" s="29">
        <v>8</v>
      </c>
      <c r="G315" s="29">
        <v>115</v>
      </c>
    </row>
    <row r="316" spans="5:7" ht="15.6" x14ac:dyDescent="0.3">
      <c r="E316" s="28">
        <v>307</v>
      </c>
      <c r="F316" s="29">
        <v>9</v>
      </c>
      <c r="G316" s="29">
        <v>89</v>
      </c>
    </row>
    <row r="317" spans="5:7" ht="15.6" x14ac:dyDescent="0.3">
      <c r="E317" s="28">
        <v>308</v>
      </c>
      <c r="F317" s="29">
        <v>8</v>
      </c>
      <c r="G317" s="29">
        <v>77</v>
      </c>
    </row>
    <row r="318" spans="5:7" ht="15.6" x14ac:dyDescent="0.3">
      <c r="E318" s="28">
        <v>309</v>
      </c>
      <c r="F318" s="29">
        <v>9</v>
      </c>
      <c r="G318" s="29">
        <v>96</v>
      </c>
    </row>
    <row r="319" spans="5:7" ht="15.6" x14ac:dyDescent="0.3">
      <c r="E319" s="28">
        <v>310</v>
      </c>
      <c r="F319" s="29">
        <v>5</v>
      </c>
      <c r="G319" s="29">
        <v>85</v>
      </c>
    </row>
    <row r="320" spans="5:7" ht="15.6" x14ac:dyDescent="0.3">
      <c r="E320" s="28">
        <v>311</v>
      </c>
      <c r="F320" s="29">
        <v>8</v>
      </c>
      <c r="G320" s="29">
        <v>56</v>
      </c>
    </row>
    <row r="321" spans="5:7" ht="15.6" x14ac:dyDescent="0.3">
      <c r="E321" s="28">
        <v>312</v>
      </c>
      <c r="F321" s="29">
        <v>5</v>
      </c>
      <c r="G321" s="29">
        <v>85</v>
      </c>
    </row>
    <row r="322" spans="5:7" ht="15.6" x14ac:dyDescent="0.3">
      <c r="E322" s="28">
        <v>313</v>
      </c>
      <c r="F322" s="29">
        <v>6</v>
      </c>
      <c r="G322" s="29">
        <v>68</v>
      </c>
    </row>
    <row r="323" spans="5:7" ht="15.6" x14ac:dyDescent="0.3">
      <c r="E323" s="28">
        <v>314</v>
      </c>
      <c r="F323" s="29">
        <v>5</v>
      </c>
      <c r="G323" s="29"/>
    </row>
    <row r="324" spans="5:7" ht="15.6" x14ac:dyDescent="0.3">
      <c r="E324" s="28">
        <v>315</v>
      </c>
      <c r="F324" s="29">
        <v>8</v>
      </c>
      <c r="G324" s="29">
        <v>64</v>
      </c>
    </row>
    <row r="325" spans="5:7" ht="15.6" x14ac:dyDescent="0.3">
      <c r="E325" s="28">
        <v>316</v>
      </c>
      <c r="F325" s="29">
        <v>3</v>
      </c>
      <c r="G325" s="29">
        <v>94</v>
      </c>
    </row>
    <row r="326" spans="5:7" ht="15.6" x14ac:dyDescent="0.3">
      <c r="E326" s="28">
        <v>317</v>
      </c>
      <c r="F326" s="29">
        <v>5</v>
      </c>
      <c r="G326" s="29">
        <v>100</v>
      </c>
    </row>
    <row r="327" spans="5:7" ht="15.6" x14ac:dyDescent="0.3">
      <c r="E327" s="28">
        <v>318</v>
      </c>
      <c r="F327" s="29">
        <v>8</v>
      </c>
      <c r="G327" s="29">
        <v>85</v>
      </c>
    </row>
    <row r="328" spans="5:7" ht="15.6" x14ac:dyDescent="0.3">
      <c r="E328" s="28">
        <v>319</v>
      </c>
      <c r="F328" s="29">
        <v>8</v>
      </c>
      <c r="G328" s="29"/>
    </row>
    <row r="329" spans="5:7" ht="15.6" x14ac:dyDescent="0.3">
      <c r="E329" s="28">
        <v>320</v>
      </c>
      <c r="F329" s="29">
        <v>9</v>
      </c>
      <c r="G329" s="29">
        <v>114</v>
      </c>
    </row>
    <row r="330" spans="5:7" ht="15.6" x14ac:dyDescent="0.3">
      <c r="E330" s="28">
        <v>321</v>
      </c>
      <c r="F330" s="29">
        <v>3</v>
      </c>
      <c r="G330" s="29">
        <v>56</v>
      </c>
    </row>
    <row r="331" spans="5:7" ht="15.6" x14ac:dyDescent="0.3">
      <c r="E331" s="28">
        <v>322</v>
      </c>
      <c r="F331" s="29">
        <v>8</v>
      </c>
      <c r="G331" s="29">
        <v>60</v>
      </c>
    </row>
    <row r="332" spans="5:7" ht="15.6" x14ac:dyDescent="0.3">
      <c r="E332" s="28">
        <v>323</v>
      </c>
      <c r="F332" s="29">
        <v>2</v>
      </c>
      <c r="G332" s="29">
        <v>63</v>
      </c>
    </row>
    <row r="333" spans="5:7" ht="15.6" x14ac:dyDescent="0.3">
      <c r="E333" s="28">
        <v>324</v>
      </c>
      <c r="F333" s="29">
        <v>4</v>
      </c>
      <c r="G333" s="29">
        <v>76</v>
      </c>
    </row>
    <row r="334" spans="5:7" ht="15.6" x14ac:dyDescent="0.3">
      <c r="E334" s="28">
        <v>325</v>
      </c>
      <c r="F334" s="29">
        <v>3</v>
      </c>
      <c r="G334" s="29">
        <v>101</v>
      </c>
    </row>
    <row r="335" spans="5:7" ht="15.6" x14ac:dyDescent="0.3">
      <c r="E335" s="28">
        <v>326</v>
      </c>
      <c r="F335" s="29">
        <v>5</v>
      </c>
      <c r="G335" s="29">
        <v>62</v>
      </c>
    </row>
    <row r="336" spans="5:7" ht="15.6" x14ac:dyDescent="0.3">
      <c r="E336" s="28">
        <v>327</v>
      </c>
      <c r="F336" s="29">
        <v>4</v>
      </c>
      <c r="G336" s="29">
        <v>116</v>
      </c>
    </row>
    <row r="337" spans="5:7" ht="15.6" x14ac:dyDescent="0.3">
      <c r="E337" s="28">
        <v>328</v>
      </c>
      <c r="F337" s="29">
        <v>4</v>
      </c>
      <c r="G337" s="29">
        <v>70</v>
      </c>
    </row>
    <row r="338" spans="5:7" ht="15.6" x14ac:dyDescent="0.3">
      <c r="E338" s="28">
        <v>329</v>
      </c>
      <c r="F338" s="29">
        <v>3</v>
      </c>
      <c r="G338" s="29">
        <v>102</v>
      </c>
    </row>
    <row r="339" spans="5:7" ht="15.6" x14ac:dyDescent="0.3">
      <c r="E339" s="28">
        <v>330</v>
      </c>
      <c r="F339" s="29">
        <v>7</v>
      </c>
      <c r="G339" s="29"/>
    </row>
    <row r="340" spans="5:7" ht="15.6" x14ac:dyDescent="0.3">
      <c r="E340" s="28">
        <v>331</v>
      </c>
      <c r="F340" s="29">
        <v>3</v>
      </c>
      <c r="G340" s="29">
        <v>109</v>
      </c>
    </row>
    <row r="341" spans="5:7" ht="15.6" x14ac:dyDescent="0.3">
      <c r="E341" s="28">
        <v>332</v>
      </c>
      <c r="F341" s="29">
        <v>7</v>
      </c>
      <c r="G341" s="29">
        <v>88</v>
      </c>
    </row>
    <row r="342" spans="5:7" ht="15.6" x14ac:dyDescent="0.3">
      <c r="E342" s="28">
        <v>333</v>
      </c>
      <c r="F342" s="29">
        <v>8</v>
      </c>
      <c r="G342" s="29">
        <v>95</v>
      </c>
    </row>
    <row r="343" spans="5:7" ht="15.6" x14ac:dyDescent="0.3">
      <c r="E343" s="28">
        <v>334</v>
      </c>
      <c r="F343" s="29">
        <v>7</v>
      </c>
      <c r="G343" s="29">
        <v>95</v>
      </c>
    </row>
    <row r="344" spans="5:7" ht="15.6" x14ac:dyDescent="0.3">
      <c r="E344" s="28">
        <v>335</v>
      </c>
      <c r="F344" s="29">
        <v>4</v>
      </c>
      <c r="G344" s="29">
        <v>61</v>
      </c>
    </row>
    <row r="345" spans="5:7" ht="15.6" x14ac:dyDescent="0.3">
      <c r="E345" s="28">
        <v>336</v>
      </c>
      <c r="F345" s="29">
        <v>9</v>
      </c>
      <c r="G345" s="29">
        <v>110</v>
      </c>
    </row>
    <row r="346" spans="5:7" ht="15.6" x14ac:dyDescent="0.3">
      <c r="E346" s="28">
        <v>337</v>
      </c>
      <c r="F346" s="29">
        <v>8</v>
      </c>
      <c r="G346" s="29">
        <v>92</v>
      </c>
    </row>
    <row r="347" spans="5:7" ht="15.6" x14ac:dyDescent="0.3">
      <c r="E347" s="28">
        <v>338</v>
      </c>
      <c r="F347" s="29">
        <v>3</v>
      </c>
      <c r="G347" s="29"/>
    </row>
    <row r="348" spans="5:7" ht="15.6" x14ac:dyDescent="0.3">
      <c r="E348" s="28">
        <v>339</v>
      </c>
      <c r="F348" s="29">
        <v>7</v>
      </c>
      <c r="G348" s="29">
        <v>68</v>
      </c>
    </row>
    <row r="349" spans="5:7" ht="15.6" x14ac:dyDescent="0.3">
      <c r="E349" s="28">
        <v>340</v>
      </c>
      <c r="F349" s="29">
        <v>1</v>
      </c>
      <c r="G349" s="29">
        <v>80</v>
      </c>
    </row>
    <row r="350" spans="5:7" ht="15.6" x14ac:dyDescent="0.3">
      <c r="E350" s="28">
        <v>341</v>
      </c>
      <c r="F350" s="29">
        <v>10</v>
      </c>
      <c r="G350" s="29">
        <v>106</v>
      </c>
    </row>
    <row r="351" spans="5:7" ht="15.6" x14ac:dyDescent="0.3">
      <c r="E351" s="28">
        <v>342</v>
      </c>
      <c r="F351" s="29">
        <v>8</v>
      </c>
      <c r="G351" s="29">
        <v>102</v>
      </c>
    </row>
    <row r="352" spans="5:7" ht="15.6" x14ac:dyDescent="0.3">
      <c r="E352" s="28">
        <v>343</v>
      </c>
      <c r="F352" s="29">
        <v>7</v>
      </c>
      <c r="G352" s="29">
        <v>71</v>
      </c>
    </row>
    <row r="353" spans="5:7" ht="15.6" x14ac:dyDescent="0.3">
      <c r="E353" s="28">
        <v>344</v>
      </c>
      <c r="F353" s="29">
        <v>4</v>
      </c>
      <c r="G353" s="29">
        <v>104</v>
      </c>
    </row>
    <row r="354" spans="5:7" ht="15.6" x14ac:dyDescent="0.3">
      <c r="E354" s="28">
        <v>345</v>
      </c>
      <c r="F354" s="29">
        <v>4</v>
      </c>
      <c r="G354" s="29">
        <v>86</v>
      </c>
    </row>
    <row r="355" spans="5:7" ht="15.6" x14ac:dyDescent="0.3">
      <c r="E355" s="28">
        <v>346</v>
      </c>
      <c r="F355" s="29">
        <v>9</v>
      </c>
      <c r="G355" s="29">
        <v>92</v>
      </c>
    </row>
    <row r="356" spans="5:7" ht="15.6" x14ac:dyDescent="0.3">
      <c r="E356" s="28">
        <v>347</v>
      </c>
      <c r="F356" s="29">
        <v>5</v>
      </c>
      <c r="G356" s="29">
        <v>91</v>
      </c>
    </row>
    <row r="357" spans="5:7" ht="15.6" x14ac:dyDescent="0.3">
      <c r="E357" s="28">
        <v>348</v>
      </c>
      <c r="F357" s="29">
        <v>8</v>
      </c>
      <c r="G357" s="29">
        <v>103</v>
      </c>
    </row>
    <row r="358" spans="5:7" ht="15.6" x14ac:dyDescent="0.3">
      <c r="E358" s="28">
        <v>349</v>
      </c>
      <c r="F358" s="29">
        <v>6</v>
      </c>
      <c r="G358" s="29">
        <v>78</v>
      </c>
    </row>
    <row r="359" spans="5:7" ht="15.6" x14ac:dyDescent="0.3">
      <c r="E359" s="28">
        <v>350</v>
      </c>
      <c r="F359" s="29">
        <v>4</v>
      </c>
      <c r="G359" s="29">
        <v>107</v>
      </c>
    </row>
    <row r="360" spans="5:7" ht="15.6" x14ac:dyDescent="0.3">
      <c r="E360" s="28">
        <v>351</v>
      </c>
      <c r="F360" s="29">
        <v>2</v>
      </c>
      <c r="G360" s="29">
        <v>91</v>
      </c>
    </row>
    <row r="361" spans="5:7" ht="15.6" x14ac:dyDescent="0.3">
      <c r="E361" s="28">
        <v>352</v>
      </c>
      <c r="F361" s="29">
        <v>8</v>
      </c>
      <c r="G361" s="29">
        <v>91</v>
      </c>
    </row>
    <row r="362" spans="5:7" ht="15.6" x14ac:dyDescent="0.3">
      <c r="E362" s="28">
        <v>353</v>
      </c>
      <c r="F362" s="29">
        <v>4</v>
      </c>
      <c r="G362" s="29">
        <v>50</v>
      </c>
    </row>
    <row r="363" spans="5:7" ht="15.6" x14ac:dyDescent="0.3">
      <c r="E363" s="28">
        <v>354</v>
      </c>
      <c r="F363" s="29">
        <v>2</v>
      </c>
      <c r="G363" s="29">
        <v>95</v>
      </c>
    </row>
    <row r="364" spans="5:7" ht="15.6" x14ac:dyDescent="0.3">
      <c r="E364" s="28">
        <v>355</v>
      </c>
      <c r="F364" s="29">
        <v>1</v>
      </c>
      <c r="G364" s="29">
        <v>86</v>
      </c>
    </row>
    <row r="365" spans="5:7" ht="15.6" x14ac:dyDescent="0.3">
      <c r="E365" s="28">
        <v>356</v>
      </c>
      <c r="F365" s="29">
        <v>3</v>
      </c>
      <c r="G365" s="29">
        <v>79</v>
      </c>
    </row>
    <row r="366" spans="5:7" ht="15.6" x14ac:dyDescent="0.3">
      <c r="E366" s="28">
        <v>357</v>
      </c>
      <c r="F366" s="29">
        <v>5</v>
      </c>
      <c r="G366" s="29">
        <v>111</v>
      </c>
    </row>
    <row r="367" spans="5:7" ht="15.6" x14ac:dyDescent="0.3">
      <c r="E367" s="28">
        <v>358</v>
      </c>
      <c r="F367" s="29">
        <v>3</v>
      </c>
      <c r="G367" s="29">
        <v>88</v>
      </c>
    </row>
    <row r="368" spans="5:7" ht="15.6" x14ac:dyDescent="0.3">
      <c r="E368" s="28">
        <v>359</v>
      </c>
      <c r="F368" s="29">
        <v>3</v>
      </c>
      <c r="G368" s="29">
        <v>89</v>
      </c>
    </row>
    <row r="369" spans="5:7" ht="15.6" x14ac:dyDescent="0.3">
      <c r="E369" s="28">
        <v>360</v>
      </c>
      <c r="F369" s="29">
        <v>4</v>
      </c>
      <c r="G369" s="29">
        <v>98</v>
      </c>
    </row>
    <row r="370" spans="5:7" ht="15.6" x14ac:dyDescent="0.3">
      <c r="E370" s="28">
        <v>361</v>
      </c>
      <c r="F370" s="29">
        <v>5</v>
      </c>
      <c r="G370" s="29">
        <v>94</v>
      </c>
    </row>
    <row r="371" spans="5:7" ht="15.6" x14ac:dyDescent="0.3">
      <c r="E371" s="28">
        <v>362</v>
      </c>
      <c r="F371" s="29">
        <v>4</v>
      </c>
      <c r="G371" s="29">
        <v>60</v>
      </c>
    </row>
    <row r="372" spans="5:7" ht="15.6" x14ac:dyDescent="0.3">
      <c r="E372" s="28">
        <v>363</v>
      </c>
      <c r="F372" s="29">
        <v>9</v>
      </c>
      <c r="G372" s="29">
        <v>88</v>
      </c>
    </row>
    <row r="373" spans="5:7" ht="15.6" x14ac:dyDescent="0.3">
      <c r="E373" s="28">
        <v>364</v>
      </c>
      <c r="F373" s="29">
        <v>9</v>
      </c>
      <c r="G373" s="29">
        <v>111</v>
      </c>
    </row>
    <row r="374" spans="5:7" ht="15.6" x14ac:dyDescent="0.3">
      <c r="E374" s="28">
        <v>365</v>
      </c>
      <c r="F374" s="29">
        <v>4</v>
      </c>
      <c r="G374" s="29">
        <v>77</v>
      </c>
    </row>
    <row r="375" spans="5:7" ht="15.6" x14ac:dyDescent="0.3">
      <c r="E375" s="28">
        <v>366</v>
      </c>
      <c r="F375" s="29">
        <v>2</v>
      </c>
      <c r="G375" s="29">
        <v>77</v>
      </c>
    </row>
    <row r="376" spans="5:7" ht="15.6" x14ac:dyDescent="0.3">
      <c r="E376" s="28">
        <v>367</v>
      </c>
      <c r="F376" s="29">
        <v>9</v>
      </c>
      <c r="G376" s="29">
        <v>83</v>
      </c>
    </row>
    <row r="377" spans="5:7" ht="15.6" x14ac:dyDescent="0.3">
      <c r="E377" s="28">
        <v>368</v>
      </c>
      <c r="F377" s="29">
        <v>4</v>
      </c>
      <c r="G377" s="29">
        <v>80</v>
      </c>
    </row>
    <row r="378" spans="5:7" ht="15.6" x14ac:dyDescent="0.3">
      <c r="E378" s="28">
        <v>369</v>
      </c>
      <c r="F378" s="29">
        <v>4</v>
      </c>
      <c r="G378" s="29">
        <v>75</v>
      </c>
    </row>
    <row r="379" spans="5:7" ht="15.6" x14ac:dyDescent="0.3">
      <c r="E379" s="28">
        <v>370</v>
      </c>
      <c r="F379" s="29">
        <v>2</v>
      </c>
      <c r="G379" s="29">
        <v>93</v>
      </c>
    </row>
    <row r="380" spans="5:7" ht="15.6" x14ac:dyDescent="0.3">
      <c r="E380" s="28">
        <v>371</v>
      </c>
      <c r="F380" s="29">
        <v>8</v>
      </c>
      <c r="G380" s="29">
        <v>68</v>
      </c>
    </row>
    <row r="381" spans="5:7" ht="15.6" x14ac:dyDescent="0.3">
      <c r="E381" s="28">
        <v>372</v>
      </c>
      <c r="F381" s="29">
        <v>2</v>
      </c>
      <c r="G381" s="29">
        <v>85</v>
      </c>
    </row>
    <row r="382" spans="5:7" ht="15.6" x14ac:dyDescent="0.3">
      <c r="E382" s="28">
        <v>373</v>
      </c>
      <c r="F382" s="29">
        <v>5</v>
      </c>
      <c r="G382" s="29">
        <v>63</v>
      </c>
    </row>
    <row r="383" spans="5:7" ht="15.6" x14ac:dyDescent="0.3">
      <c r="E383" s="28">
        <v>374</v>
      </c>
      <c r="F383" s="29">
        <v>4</v>
      </c>
      <c r="G383" s="29">
        <v>117</v>
      </c>
    </row>
    <row r="384" spans="5:7" ht="15.6" x14ac:dyDescent="0.3">
      <c r="E384" s="28">
        <v>375</v>
      </c>
      <c r="F384" s="29">
        <v>3</v>
      </c>
      <c r="G384" s="29">
        <v>80</v>
      </c>
    </row>
    <row r="385" spans="5:7" ht="15.6" x14ac:dyDescent="0.3">
      <c r="E385" s="28">
        <v>376</v>
      </c>
      <c r="F385" s="29">
        <v>2</v>
      </c>
      <c r="G385" s="29">
        <v>94</v>
      </c>
    </row>
    <row r="386" spans="5:7" ht="15.6" x14ac:dyDescent="0.3">
      <c r="E386" s="28">
        <v>377</v>
      </c>
      <c r="F386" s="29">
        <v>3</v>
      </c>
      <c r="G386" s="29">
        <v>111</v>
      </c>
    </row>
    <row r="387" spans="5:7" ht="15.6" x14ac:dyDescent="0.3">
      <c r="E387" s="28">
        <v>378</v>
      </c>
      <c r="F387" s="29">
        <v>2</v>
      </c>
      <c r="G387" s="29">
        <v>72</v>
      </c>
    </row>
    <row r="388" spans="5:7" ht="15.6" x14ac:dyDescent="0.3">
      <c r="E388" s="28">
        <v>379</v>
      </c>
      <c r="F388" s="29">
        <v>5</v>
      </c>
      <c r="G388" s="29">
        <v>89</v>
      </c>
    </row>
    <row r="389" spans="5:7" ht="15.6" x14ac:dyDescent="0.3">
      <c r="E389" s="28">
        <v>380</v>
      </c>
      <c r="F389" s="29">
        <v>1</v>
      </c>
      <c r="G389" s="29">
        <v>107</v>
      </c>
    </row>
    <row r="390" spans="5:7" ht="15.6" x14ac:dyDescent="0.3">
      <c r="E390" s="28">
        <v>381</v>
      </c>
      <c r="F390" s="29">
        <v>1</v>
      </c>
      <c r="G390" s="29">
        <v>95</v>
      </c>
    </row>
    <row r="391" spans="5:7" ht="15.6" x14ac:dyDescent="0.3">
      <c r="E391" s="28">
        <v>382</v>
      </c>
      <c r="F391" s="29">
        <v>7</v>
      </c>
      <c r="G391" s="29">
        <v>96</v>
      </c>
    </row>
    <row r="392" spans="5:7" ht="15.6" x14ac:dyDescent="0.3">
      <c r="E392" s="28">
        <v>383</v>
      </c>
      <c r="F392" s="29">
        <v>4</v>
      </c>
      <c r="G392" s="29">
        <v>84</v>
      </c>
    </row>
    <row r="393" spans="5:7" ht="15.6" x14ac:dyDescent="0.3">
      <c r="E393" s="28">
        <v>384</v>
      </c>
      <c r="F393" s="29">
        <v>7</v>
      </c>
      <c r="G393" s="29">
        <v>102</v>
      </c>
    </row>
    <row r="394" spans="5:7" ht="15.6" x14ac:dyDescent="0.3">
      <c r="E394" s="28">
        <v>385</v>
      </c>
      <c r="F394" s="29">
        <v>8</v>
      </c>
      <c r="G394" s="29">
        <v>97</v>
      </c>
    </row>
    <row r="395" spans="5:7" ht="15.6" x14ac:dyDescent="0.3">
      <c r="E395" s="28">
        <v>386</v>
      </c>
      <c r="F395" s="29">
        <v>10</v>
      </c>
      <c r="G395" s="29">
        <v>51</v>
      </c>
    </row>
    <row r="396" spans="5:7" ht="15.6" x14ac:dyDescent="0.3">
      <c r="E396" s="28">
        <v>387</v>
      </c>
      <c r="F396" s="29">
        <v>2</v>
      </c>
      <c r="G396" s="29">
        <v>104</v>
      </c>
    </row>
    <row r="397" spans="5:7" ht="15.6" x14ac:dyDescent="0.3">
      <c r="E397" s="28">
        <v>388</v>
      </c>
      <c r="F397" s="29">
        <v>3</v>
      </c>
      <c r="G397" s="29">
        <v>112</v>
      </c>
    </row>
    <row r="398" spans="5:7" ht="15.6" x14ac:dyDescent="0.3">
      <c r="E398" s="28">
        <v>389</v>
      </c>
      <c r="F398" s="29">
        <v>2</v>
      </c>
      <c r="G398" s="29">
        <v>110</v>
      </c>
    </row>
    <row r="399" spans="5:7" ht="15.6" x14ac:dyDescent="0.3">
      <c r="E399" s="28">
        <v>390</v>
      </c>
      <c r="F399" s="29">
        <v>1</v>
      </c>
      <c r="G399" s="29">
        <v>77</v>
      </c>
    </row>
    <row r="400" spans="5:7" ht="15.6" x14ac:dyDescent="0.3">
      <c r="E400" s="28">
        <v>391</v>
      </c>
      <c r="F400" s="29">
        <v>10</v>
      </c>
      <c r="G400" s="29">
        <v>76</v>
      </c>
    </row>
    <row r="401" spans="5:7" ht="15.6" x14ac:dyDescent="0.3">
      <c r="E401" s="28">
        <v>392</v>
      </c>
      <c r="F401" s="29">
        <v>4</v>
      </c>
      <c r="G401" s="29">
        <v>113</v>
      </c>
    </row>
    <row r="402" spans="5:7" ht="15.6" x14ac:dyDescent="0.3">
      <c r="E402" s="28">
        <v>393</v>
      </c>
      <c r="F402" s="29">
        <v>7</v>
      </c>
      <c r="G402" s="29">
        <v>118</v>
      </c>
    </row>
    <row r="403" spans="5:7" ht="15.6" x14ac:dyDescent="0.3">
      <c r="E403" s="28">
        <v>394</v>
      </c>
      <c r="F403" s="29">
        <v>10</v>
      </c>
      <c r="G403" s="29">
        <v>95</v>
      </c>
    </row>
    <row r="404" spans="5:7" ht="15.6" x14ac:dyDescent="0.3">
      <c r="E404" s="28">
        <v>395</v>
      </c>
      <c r="F404" s="29">
        <v>10</v>
      </c>
      <c r="G404" s="29">
        <v>45</v>
      </c>
    </row>
    <row r="405" spans="5:7" ht="15.6" x14ac:dyDescent="0.3">
      <c r="E405" s="28">
        <v>396</v>
      </c>
      <c r="F405" s="29">
        <v>9</v>
      </c>
      <c r="G405" s="29">
        <v>93</v>
      </c>
    </row>
    <row r="406" spans="5:7" ht="15.6" x14ac:dyDescent="0.3">
      <c r="E406" s="28">
        <v>397</v>
      </c>
      <c r="F406" s="29">
        <v>8</v>
      </c>
      <c r="G406" s="29">
        <v>52</v>
      </c>
    </row>
    <row r="407" spans="5:7" ht="15.6" x14ac:dyDescent="0.3">
      <c r="E407" s="28">
        <v>398</v>
      </c>
      <c r="F407" s="29">
        <v>7</v>
      </c>
      <c r="G407" s="29">
        <v>89</v>
      </c>
    </row>
    <row r="408" spans="5:7" ht="15.6" x14ac:dyDescent="0.3">
      <c r="E408" s="28">
        <v>399</v>
      </c>
      <c r="F408" s="29">
        <v>7</v>
      </c>
      <c r="G408" s="29">
        <v>92</v>
      </c>
    </row>
    <row r="409" spans="5:7" ht="15.6" x14ac:dyDescent="0.3">
      <c r="E409" s="28">
        <v>400</v>
      </c>
      <c r="F409" s="29">
        <v>4</v>
      </c>
      <c r="G409" s="29">
        <v>90</v>
      </c>
    </row>
    <row r="410" spans="5:7" ht="15.6" x14ac:dyDescent="0.3">
      <c r="E410" s="28">
        <v>401</v>
      </c>
      <c r="F410" s="29">
        <v>10</v>
      </c>
      <c r="G410" s="29">
        <v>73</v>
      </c>
    </row>
    <row r="411" spans="5:7" ht="15.6" x14ac:dyDescent="0.3">
      <c r="E411" s="28">
        <v>402</v>
      </c>
      <c r="F411" s="29">
        <v>2</v>
      </c>
      <c r="G411" s="29">
        <v>43</v>
      </c>
    </row>
    <row r="412" spans="5:7" ht="15.6" x14ac:dyDescent="0.3">
      <c r="E412" s="28">
        <v>403</v>
      </c>
      <c r="F412" s="29">
        <v>5</v>
      </c>
      <c r="G412" s="29">
        <v>102</v>
      </c>
    </row>
    <row r="413" spans="5:7" ht="15.6" x14ac:dyDescent="0.3">
      <c r="E413" s="28">
        <v>404</v>
      </c>
      <c r="F413" s="29">
        <v>6</v>
      </c>
      <c r="G413" s="29">
        <v>83</v>
      </c>
    </row>
    <row r="414" spans="5:7" ht="15.6" x14ac:dyDescent="0.3">
      <c r="E414" s="28">
        <v>405</v>
      </c>
      <c r="F414" s="29">
        <v>8</v>
      </c>
      <c r="G414" s="29">
        <v>95</v>
      </c>
    </row>
    <row r="415" spans="5:7" ht="15.6" x14ac:dyDescent="0.3">
      <c r="E415" s="28">
        <v>406</v>
      </c>
      <c r="F415" s="29">
        <v>2</v>
      </c>
      <c r="G415" s="29">
        <v>99</v>
      </c>
    </row>
    <row r="416" spans="5:7" ht="15.6" x14ac:dyDescent="0.3">
      <c r="E416" s="28">
        <v>407</v>
      </c>
      <c r="F416" s="29">
        <v>1</v>
      </c>
      <c r="G416" s="29">
        <v>111</v>
      </c>
    </row>
    <row r="417" spans="5:7" ht="15.6" x14ac:dyDescent="0.3">
      <c r="E417" s="28">
        <v>408</v>
      </c>
      <c r="F417" s="29">
        <v>8</v>
      </c>
      <c r="G417" s="29">
        <v>102</v>
      </c>
    </row>
    <row r="418" spans="5:7" ht="15.6" x14ac:dyDescent="0.3">
      <c r="E418" s="28">
        <v>409</v>
      </c>
      <c r="F418" s="29">
        <v>10</v>
      </c>
      <c r="G418" s="29">
        <v>85</v>
      </c>
    </row>
    <row r="419" spans="5:7" ht="15.6" x14ac:dyDescent="0.3">
      <c r="E419" s="28">
        <v>410</v>
      </c>
      <c r="F419" s="29">
        <v>9</v>
      </c>
      <c r="G419" s="29">
        <v>106</v>
      </c>
    </row>
    <row r="420" spans="5:7" ht="15.6" x14ac:dyDescent="0.3">
      <c r="E420" s="28">
        <v>411</v>
      </c>
      <c r="F420" s="29">
        <v>8</v>
      </c>
      <c r="G420" s="29">
        <v>101</v>
      </c>
    </row>
    <row r="421" spans="5:7" ht="15.6" x14ac:dyDescent="0.3">
      <c r="E421" s="28">
        <v>412</v>
      </c>
      <c r="F421" s="29">
        <v>9</v>
      </c>
      <c r="G421" s="29">
        <v>77</v>
      </c>
    </row>
    <row r="422" spans="5:7" ht="15.6" x14ac:dyDescent="0.3">
      <c r="E422" s="28">
        <v>413</v>
      </c>
      <c r="F422" s="29">
        <v>6</v>
      </c>
      <c r="G422" s="29">
        <v>102</v>
      </c>
    </row>
    <row r="423" spans="5:7" ht="15.6" x14ac:dyDescent="0.3">
      <c r="E423" s="28">
        <v>414</v>
      </c>
      <c r="F423" s="29">
        <v>4</v>
      </c>
      <c r="G423" s="29">
        <v>80</v>
      </c>
    </row>
    <row r="424" spans="5:7" ht="15.6" x14ac:dyDescent="0.3">
      <c r="E424" s="28">
        <v>415</v>
      </c>
      <c r="F424" s="29">
        <v>4</v>
      </c>
      <c r="G424" s="29">
        <v>78</v>
      </c>
    </row>
    <row r="425" spans="5:7" ht="15.6" x14ac:dyDescent="0.3">
      <c r="E425" s="28">
        <v>416</v>
      </c>
      <c r="F425" s="29">
        <v>5</v>
      </c>
      <c r="G425" s="29">
        <v>60</v>
      </c>
    </row>
    <row r="426" spans="5:7" ht="15.6" x14ac:dyDescent="0.3">
      <c r="E426" s="28">
        <v>417</v>
      </c>
      <c r="F426" s="29">
        <v>9</v>
      </c>
      <c r="G426" s="29">
        <v>86</v>
      </c>
    </row>
    <row r="427" spans="5:7" ht="15.6" x14ac:dyDescent="0.3">
      <c r="E427" s="28">
        <v>418</v>
      </c>
      <c r="F427" s="29">
        <v>3</v>
      </c>
      <c r="G427" s="29">
        <v>73</v>
      </c>
    </row>
    <row r="428" spans="5:7" ht="15.6" x14ac:dyDescent="0.3">
      <c r="E428" s="28">
        <v>419</v>
      </c>
      <c r="F428" s="29">
        <v>7</v>
      </c>
      <c r="G428" s="29">
        <v>88</v>
      </c>
    </row>
    <row r="429" spans="5:7" ht="15.6" x14ac:dyDescent="0.3">
      <c r="E429" s="28">
        <v>420</v>
      </c>
      <c r="F429" s="29">
        <v>1</v>
      </c>
      <c r="G429" s="29">
        <v>72</v>
      </c>
    </row>
    <row r="430" spans="5:7" ht="15.6" x14ac:dyDescent="0.3">
      <c r="E430" s="28">
        <v>421</v>
      </c>
      <c r="F430" s="29">
        <v>6</v>
      </c>
      <c r="G430" s="29">
        <v>111</v>
      </c>
    </row>
    <row r="431" spans="5:7" ht="15.6" x14ac:dyDescent="0.3">
      <c r="E431" s="28">
        <v>422</v>
      </c>
      <c r="F431" s="29">
        <v>2</v>
      </c>
      <c r="G431" s="29">
        <v>61</v>
      </c>
    </row>
    <row r="432" spans="5:7" ht="15.6" x14ac:dyDescent="0.3">
      <c r="E432" s="28">
        <v>423</v>
      </c>
      <c r="F432" s="29">
        <v>9</v>
      </c>
      <c r="G432" s="29">
        <v>91</v>
      </c>
    </row>
    <row r="433" spans="5:7" ht="15.6" x14ac:dyDescent="0.3">
      <c r="E433" s="28">
        <v>424</v>
      </c>
      <c r="F433" s="29">
        <v>4</v>
      </c>
      <c r="G433" s="29">
        <v>88</v>
      </c>
    </row>
    <row r="434" spans="5:7" ht="15.6" x14ac:dyDescent="0.3">
      <c r="E434" s="28">
        <v>425</v>
      </c>
      <c r="F434" s="29">
        <v>4</v>
      </c>
      <c r="G434" s="29">
        <v>82</v>
      </c>
    </row>
    <row r="435" spans="5:7" ht="15.6" x14ac:dyDescent="0.3">
      <c r="E435" s="28">
        <v>426</v>
      </c>
      <c r="F435" s="29">
        <v>4</v>
      </c>
      <c r="G435" s="29">
        <v>107</v>
      </c>
    </row>
    <row r="436" spans="5:7" ht="15.6" x14ac:dyDescent="0.3">
      <c r="E436" s="28">
        <v>427</v>
      </c>
      <c r="F436" s="29">
        <v>3</v>
      </c>
      <c r="G436" s="29">
        <v>85</v>
      </c>
    </row>
    <row r="437" spans="5:7" ht="15.6" x14ac:dyDescent="0.3">
      <c r="E437" s="28">
        <v>428</v>
      </c>
      <c r="F437" s="29">
        <v>8</v>
      </c>
      <c r="G437" s="29">
        <v>104</v>
      </c>
    </row>
    <row r="438" spans="5:7" ht="15.6" x14ac:dyDescent="0.3">
      <c r="E438" s="28">
        <v>429</v>
      </c>
      <c r="F438" s="29">
        <v>3</v>
      </c>
      <c r="G438" s="29">
        <v>53</v>
      </c>
    </row>
    <row r="439" spans="5:7" ht="15.6" x14ac:dyDescent="0.3">
      <c r="E439" s="28">
        <v>430</v>
      </c>
      <c r="F439" s="29">
        <v>7</v>
      </c>
      <c r="G439" s="29">
        <v>115</v>
      </c>
    </row>
    <row r="440" spans="5:7" ht="15.6" x14ac:dyDescent="0.3">
      <c r="E440" s="28">
        <v>431</v>
      </c>
      <c r="F440" s="29">
        <v>5</v>
      </c>
      <c r="G440" s="29">
        <v>68</v>
      </c>
    </row>
    <row r="441" spans="5:7" ht="15.6" x14ac:dyDescent="0.3">
      <c r="E441" s="28">
        <v>432</v>
      </c>
      <c r="F441" s="29">
        <v>8</v>
      </c>
      <c r="G441" s="29">
        <v>96</v>
      </c>
    </row>
    <row r="442" spans="5:7" ht="15.6" x14ac:dyDescent="0.3">
      <c r="E442" s="28">
        <v>433</v>
      </c>
      <c r="F442" s="29">
        <v>9</v>
      </c>
      <c r="G442" s="29">
        <v>95</v>
      </c>
    </row>
    <row r="443" spans="5:7" ht="15.6" x14ac:dyDescent="0.3">
      <c r="E443" s="28">
        <v>434</v>
      </c>
      <c r="F443" s="29">
        <v>9</v>
      </c>
      <c r="G443" s="29">
        <v>92</v>
      </c>
    </row>
    <row r="444" spans="5:7" ht="15.6" x14ac:dyDescent="0.3">
      <c r="E444" s="28">
        <v>435</v>
      </c>
      <c r="F444" s="29">
        <v>8</v>
      </c>
      <c r="G444" s="29">
        <v>89</v>
      </c>
    </row>
    <row r="445" spans="5:7" ht="15.6" x14ac:dyDescent="0.3">
      <c r="E445" s="28">
        <v>436</v>
      </c>
      <c r="F445" s="29">
        <v>9</v>
      </c>
      <c r="G445" s="29">
        <v>69</v>
      </c>
    </row>
    <row r="446" spans="5:7" ht="15.6" x14ac:dyDescent="0.3">
      <c r="E446" s="28">
        <v>437</v>
      </c>
      <c r="F446" s="29">
        <v>1</v>
      </c>
      <c r="G446" s="29">
        <v>90</v>
      </c>
    </row>
    <row r="447" spans="5:7" ht="15.6" x14ac:dyDescent="0.3">
      <c r="E447" s="28">
        <v>438</v>
      </c>
      <c r="F447" s="29">
        <v>7</v>
      </c>
      <c r="G447" s="29">
        <v>86</v>
      </c>
    </row>
    <row r="448" spans="5:7" ht="15.6" x14ac:dyDescent="0.3">
      <c r="E448" s="28">
        <v>439</v>
      </c>
      <c r="F448" s="29">
        <v>5</v>
      </c>
      <c r="G448" s="29">
        <v>84</v>
      </c>
    </row>
    <row r="449" spans="5:7" ht="15.6" x14ac:dyDescent="0.3">
      <c r="E449" s="28">
        <v>440</v>
      </c>
      <c r="F449" s="29">
        <v>3</v>
      </c>
      <c r="G449" s="29">
        <v>94</v>
      </c>
    </row>
    <row r="450" spans="5:7" ht="15.6" x14ac:dyDescent="0.3">
      <c r="E450" s="28">
        <v>441</v>
      </c>
      <c r="F450" s="29">
        <v>7</v>
      </c>
      <c r="G450" s="29">
        <v>102</v>
      </c>
    </row>
    <row r="451" spans="5:7" ht="15.6" x14ac:dyDescent="0.3">
      <c r="E451" s="28">
        <v>442</v>
      </c>
      <c r="F451" s="29">
        <v>4</v>
      </c>
      <c r="G451" s="29">
        <v>75</v>
      </c>
    </row>
    <row r="452" spans="5:7" ht="15.6" x14ac:dyDescent="0.3">
      <c r="E452" s="28">
        <v>443</v>
      </c>
      <c r="F452" s="29">
        <v>5</v>
      </c>
      <c r="G452" s="29">
        <v>82</v>
      </c>
    </row>
    <row r="453" spans="5:7" ht="15.6" x14ac:dyDescent="0.3">
      <c r="E453" s="28">
        <v>444</v>
      </c>
      <c r="F453" s="29">
        <v>10</v>
      </c>
      <c r="G453" s="29">
        <v>96</v>
      </c>
    </row>
    <row r="454" spans="5:7" ht="15.6" x14ac:dyDescent="0.3">
      <c r="E454" s="28">
        <v>445</v>
      </c>
      <c r="F454" s="29">
        <v>4</v>
      </c>
      <c r="G454" s="29">
        <v>74</v>
      </c>
    </row>
    <row r="455" spans="5:7" ht="15.6" x14ac:dyDescent="0.3">
      <c r="E455" s="28">
        <v>446</v>
      </c>
      <c r="F455" s="29">
        <v>1</v>
      </c>
      <c r="G455" s="29">
        <v>87</v>
      </c>
    </row>
    <row r="456" spans="5:7" ht="15.6" x14ac:dyDescent="0.3">
      <c r="E456" s="28">
        <v>447</v>
      </c>
      <c r="F456" s="29">
        <v>8</v>
      </c>
      <c r="G456" s="29">
        <v>112</v>
      </c>
    </row>
    <row r="457" spans="5:7" ht="15.6" x14ac:dyDescent="0.3">
      <c r="E457" s="28">
        <v>448</v>
      </c>
      <c r="F457" s="29">
        <v>1</v>
      </c>
      <c r="G457" s="29"/>
    </row>
    <row r="458" spans="5:7" ht="15.6" x14ac:dyDescent="0.3">
      <c r="E458" s="28">
        <v>449</v>
      </c>
      <c r="F458" s="29">
        <v>3</v>
      </c>
      <c r="G458" s="29"/>
    </row>
    <row r="459" spans="5:7" ht="15.6" x14ac:dyDescent="0.3">
      <c r="E459" s="28">
        <v>450</v>
      </c>
      <c r="F459" s="29">
        <v>2</v>
      </c>
      <c r="G459" s="29">
        <v>71</v>
      </c>
    </row>
    <row r="460" spans="5:7" ht="15.6" x14ac:dyDescent="0.3">
      <c r="E460" s="28">
        <v>451</v>
      </c>
      <c r="F460" s="29">
        <v>9</v>
      </c>
      <c r="G460" s="29">
        <v>101</v>
      </c>
    </row>
    <row r="461" spans="5:7" ht="15.6" x14ac:dyDescent="0.3">
      <c r="E461" s="28">
        <v>452</v>
      </c>
      <c r="F461" s="29">
        <v>7</v>
      </c>
      <c r="G461" s="29">
        <v>104</v>
      </c>
    </row>
    <row r="462" spans="5:7" ht="15.6" x14ac:dyDescent="0.3">
      <c r="E462" s="28">
        <v>453</v>
      </c>
      <c r="F462" s="29">
        <v>4</v>
      </c>
      <c r="G462" s="29">
        <v>94</v>
      </c>
    </row>
    <row r="463" spans="5:7" ht="15.6" x14ac:dyDescent="0.3">
      <c r="E463" s="28">
        <v>454</v>
      </c>
      <c r="F463" s="29">
        <v>7</v>
      </c>
      <c r="G463" s="29">
        <v>100</v>
      </c>
    </row>
    <row r="464" spans="5:7" ht="15.6" x14ac:dyDescent="0.3">
      <c r="E464" s="28">
        <v>455</v>
      </c>
      <c r="F464" s="29">
        <v>7</v>
      </c>
      <c r="G464" s="29">
        <v>95</v>
      </c>
    </row>
    <row r="465" spans="5:7" ht="15.6" x14ac:dyDescent="0.3">
      <c r="E465" s="28">
        <v>456</v>
      </c>
      <c r="F465" s="29">
        <v>8</v>
      </c>
      <c r="G465" s="29">
        <v>80</v>
      </c>
    </row>
    <row r="466" spans="5:7" ht="15.6" x14ac:dyDescent="0.3">
      <c r="E466" s="28">
        <v>457</v>
      </c>
      <c r="F466" s="29">
        <v>6</v>
      </c>
      <c r="G466" s="29">
        <v>66</v>
      </c>
    </row>
    <row r="467" spans="5:7" ht="15.6" x14ac:dyDescent="0.3">
      <c r="E467" s="28">
        <v>458</v>
      </c>
      <c r="F467" s="29">
        <v>8</v>
      </c>
      <c r="G467" s="29">
        <v>81</v>
      </c>
    </row>
    <row r="468" spans="5:7" ht="15.6" x14ac:dyDescent="0.3">
      <c r="E468" s="28">
        <v>459</v>
      </c>
      <c r="F468" s="29">
        <v>5</v>
      </c>
      <c r="G468" s="29">
        <v>97</v>
      </c>
    </row>
    <row r="469" spans="5:7" ht="15.6" x14ac:dyDescent="0.3">
      <c r="E469" s="28">
        <v>460</v>
      </c>
      <c r="F469" s="29">
        <v>4</v>
      </c>
      <c r="G469" s="29">
        <v>119</v>
      </c>
    </row>
    <row r="470" spans="5:7" ht="15.6" x14ac:dyDescent="0.3">
      <c r="E470" s="28">
        <v>461</v>
      </c>
      <c r="F470" s="29">
        <v>9</v>
      </c>
      <c r="G470" s="29"/>
    </row>
    <row r="471" spans="5:7" ht="15.6" x14ac:dyDescent="0.3">
      <c r="E471" s="28">
        <v>462</v>
      </c>
      <c r="F471" s="29">
        <v>3</v>
      </c>
      <c r="G471" s="29">
        <v>64</v>
      </c>
    </row>
    <row r="472" spans="5:7" ht="15.6" x14ac:dyDescent="0.3">
      <c r="E472" s="28">
        <v>463</v>
      </c>
      <c r="F472" s="29">
        <v>6</v>
      </c>
      <c r="G472" s="29">
        <v>75</v>
      </c>
    </row>
    <row r="473" spans="5:7" ht="15.6" x14ac:dyDescent="0.3">
      <c r="E473" s="28">
        <v>464</v>
      </c>
      <c r="F473" s="29">
        <v>3</v>
      </c>
      <c r="G473" s="29">
        <v>71</v>
      </c>
    </row>
    <row r="474" spans="5:7" ht="15.6" x14ac:dyDescent="0.3">
      <c r="E474" s="28">
        <v>465</v>
      </c>
      <c r="F474" s="29">
        <v>4</v>
      </c>
      <c r="G474" s="29">
        <v>104</v>
      </c>
    </row>
    <row r="475" spans="5:7" ht="15.6" x14ac:dyDescent="0.3">
      <c r="E475" s="28">
        <v>466</v>
      </c>
      <c r="F475" s="29">
        <v>4</v>
      </c>
      <c r="G475" s="29">
        <v>85</v>
      </c>
    </row>
    <row r="476" spans="5:7" ht="15.6" x14ac:dyDescent="0.3">
      <c r="E476" s="28">
        <v>467</v>
      </c>
      <c r="F476" s="29">
        <v>1</v>
      </c>
      <c r="G476" s="29"/>
    </row>
    <row r="477" spans="5:7" ht="15.6" x14ac:dyDescent="0.3">
      <c r="E477" s="28">
        <v>468</v>
      </c>
      <c r="F477" s="29">
        <v>5</v>
      </c>
      <c r="G477" s="29">
        <v>92</v>
      </c>
    </row>
    <row r="478" spans="5:7" ht="15.6" x14ac:dyDescent="0.3">
      <c r="E478" s="28">
        <v>469</v>
      </c>
      <c r="F478" s="29">
        <v>10</v>
      </c>
      <c r="G478" s="29">
        <v>102</v>
      </c>
    </row>
    <row r="479" spans="5:7" ht="15.6" x14ac:dyDescent="0.3">
      <c r="E479" s="28">
        <v>470</v>
      </c>
      <c r="F479" s="29">
        <v>7</v>
      </c>
      <c r="G479" s="29">
        <v>98</v>
      </c>
    </row>
    <row r="480" spans="5:7" ht="15.6" x14ac:dyDescent="0.3">
      <c r="E480" s="28">
        <v>471</v>
      </c>
      <c r="F480" s="29">
        <v>1</v>
      </c>
      <c r="G480" s="29">
        <v>60</v>
      </c>
    </row>
    <row r="481" spans="5:7" ht="15.6" x14ac:dyDescent="0.3">
      <c r="E481" s="28">
        <v>472</v>
      </c>
      <c r="F481" s="29">
        <v>8</v>
      </c>
      <c r="G481" s="29">
        <v>93</v>
      </c>
    </row>
    <row r="482" spans="5:7" ht="15.6" x14ac:dyDescent="0.3">
      <c r="E482" s="28">
        <v>473</v>
      </c>
      <c r="F482" s="29">
        <v>4</v>
      </c>
      <c r="G482" s="29">
        <v>105</v>
      </c>
    </row>
    <row r="483" spans="5:7" ht="15.6" x14ac:dyDescent="0.3">
      <c r="E483" s="28">
        <v>474</v>
      </c>
      <c r="F483" s="29">
        <v>5</v>
      </c>
      <c r="G483" s="29">
        <v>81</v>
      </c>
    </row>
    <row r="484" spans="5:7" ht="15.6" x14ac:dyDescent="0.3">
      <c r="E484" s="28">
        <v>475</v>
      </c>
      <c r="F484" s="29">
        <v>1</v>
      </c>
      <c r="G484" s="29">
        <v>76</v>
      </c>
    </row>
    <row r="485" spans="5:7" ht="15.6" x14ac:dyDescent="0.3">
      <c r="E485" s="28">
        <v>476</v>
      </c>
      <c r="F485" s="29">
        <v>9</v>
      </c>
      <c r="G485" s="29">
        <v>80</v>
      </c>
    </row>
    <row r="486" spans="5:7" ht="15.6" x14ac:dyDescent="0.3">
      <c r="E486" s="28">
        <v>477</v>
      </c>
      <c r="F486" s="29">
        <v>2</v>
      </c>
      <c r="G486" s="29">
        <v>105</v>
      </c>
    </row>
    <row r="487" spans="5:7" ht="15.6" x14ac:dyDescent="0.3">
      <c r="E487" s="28">
        <v>478</v>
      </c>
      <c r="F487" s="29">
        <v>5</v>
      </c>
      <c r="G487" s="29">
        <v>95</v>
      </c>
    </row>
    <row r="488" spans="5:7" ht="15.6" x14ac:dyDescent="0.3">
      <c r="E488" s="28">
        <v>479</v>
      </c>
      <c r="F488" s="29">
        <v>3</v>
      </c>
      <c r="G488" s="29">
        <v>97</v>
      </c>
    </row>
    <row r="489" spans="5:7" ht="15.6" x14ac:dyDescent="0.3">
      <c r="E489" s="28">
        <v>480</v>
      </c>
      <c r="F489" s="29">
        <v>2</v>
      </c>
      <c r="G489" s="29">
        <v>67</v>
      </c>
    </row>
    <row r="490" spans="5:7" ht="15.6" x14ac:dyDescent="0.3">
      <c r="E490" s="28">
        <v>481</v>
      </c>
      <c r="F490" s="29">
        <v>3</v>
      </c>
      <c r="G490" s="29">
        <v>104</v>
      </c>
    </row>
    <row r="491" spans="5:7" ht="15.6" x14ac:dyDescent="0.3">
      <c r="E491" s="28">
        <v>482</v>
      </c>
      <c r="F491" s="29">
        <v>5</v>
      </c>
      <c r="G491" s="29">
        <v>70</v>
      </c>
    </row>
    <row r="492" spans="5:7" ht="15.6" x14ac:dyDescent="0.3">
      <c r="E492" s="28">
        <v>483</v>
      </c>
      <c r="F492" s="29">
        <v>2</v>
      </c>
      <c r="G492" s="29">
        <v>81</v>
      </c>
    </row>
    <row r="493" spans="5:7" ht="15.6" x14ac:dyDescent="0.3">
      <c r="E493" s="28">
        <v>484</v>
      </c>
      <c r="F493" s="29">
        <v>7</v>
      </c>
      <c r="G493" s="29">
        <v>78</v>
      </c>
    </row>
    <row r="494" spans="5:7" ht="15.6" x14ac:dyDescent="0.3">
      <c r="E494" s="28">
        <v>485</v>
      </c>
      <c r="F494" s="29">
        <v>8</v>
      </c>
      <c r="G494" s="29"/>
    </row>
    <row r="495" spans="5:7" ht="15.6" x14ac:dyDescent="0.3">
      <c r="E495" s="28">
        <v>486</v>
      </c>
      <c r="F495" s="29">
        <v>8</v>
      </c>
      <c r="G495" s="29">
        <v>89</v>
      </c>
    </row>
    <row r="496" spans="5:7" ht="15.6" x14ac:dyDescent="0.3">
      <c r="E496" s="28">
        <v>487</v>
      </c>
      <c r="F496" s="29">
        <v>3</v>
      </c>
      <c r="G496" s="29">
        <v>65</v>
      </c>
    </row>
    <row r="497" spans="5:7" ht="15.6" x14ac:dyDescent="0.3">
      <c r="E497" s="28">
        <v>488</v>
      </c>
      <c r="F497" s="29">
        <v>10</v>
      </c>
      <c r="G497" s="29">
        <v>110</v>
      </c>
    </row>
    <row r="498" spans="5:7" ht="15.6" x14ac:dyDescent="0.3">
      <c r="E498" s="28">
        <v>489</v>
      </c>
      <c r="F498" s="29">
        <v>7</v>
      </c>
      <c r="G498" s="29">
        <v>86</v>
      </c>
    </row>
    <row r="499" spans="5:7" ht="15.6" x14ac:dyDescent="0.3">
      <c r="E499" s="28">
        <v>490</v>
      </c>
      <c r="F499" s="29">
        <v>9</v>
      </c>
      <c r="G499" s="29">
        <v>111</v>
      </c>
    </row>
    <row r="500" spans="5:7" ht="15.6" x14ac:dyDescent="0.3">
      <c r="E500" s="28">
        <v>491</v>
      </c>
      <c r="F500" s="29">
        <v>10</v>
      </c>
      <c r="G500" s="29">
        <v>106</v>
      </c>
    </row>
    <row r="501" spans="5:7" ht="15.6" x14ac:dyDescent="0.3">
      <c r="E501" s="28">
        <v>492</v>
      </c>
      <c r="F501" s="29">
        <v>10</v>
      </c>
      <c r="G501" s="29">
        <v>86</v>
      </c>
    </row>
    <row r="502" spans="5:7" ht="15.6" x14ac:dyDescent="0.3">
      <c r="E502" s="28">
        <v>493</v>
      </c>
      <c r="F502" s="29">
        <v>8</v>
      </c>
      <c r="G502" s="29">
        <v>94</v>
      </c>
    </row>
    <row r="503" spans="5:7" ht="15.6" x14ac:dyDescent="0.3">
      <c r="E503" s="28">
        <v>494</v>
      </c>
      <c r="F503" s="29">
        <v>3</v>
      </c>
      <c r="G503" s="29">
        <v>102</v>
      </c>
    </row>
    <row r="504" spans="5:7" ht="15.6" x14ac:dyDescent="0.3">
      <c r="E504" s="28">
        <v>495</v>
      </c>
      <c r="F504" s="29">
        <v>5</v>
      </c>
      <c r="G504" s="29">
        <v>92</v>
      </c>
    </row>
    <row r="505" spans="5:7" ht="15.6" x14ac:dyDescent="0.3">
      <c r="E505" s="28">
        <v>496</v>
      </c>
      <c r="F505" s="29">
        <v>9</v>
      </c>
      <c r="G505" s="29">
        <v>91</v>
      </c>
    </row>
    <row r="506" spans="5:7" ht="15.6" x14ac:dyDescent="0.3">
      <c r="E506" s="28">
        <v>497</v>
      </c>
      <c r="F506" s="29">
        <v>7</v>
      </c>
      <c r="G506" s="29">
        <v>99</v>
      </c>
    </row>
    <row r="507" spans="5:7" ht="15.6" x14ac:dyDescent="0.3">
      <c r="E507" s="28">
        <v>498</v>
      </c>
      <c r="F507" s="29">
        <v>4</v>
      </c>
      <c r="G507" s="29">
        <v>94</v>
      </c>
    </row>
    <row r="508" spans="5:7" ht="15.6" x14ac:dyDescent="0.3">
      <c r="E508" s="28">
        <v>499</v>
      </c>
      <c r="F508" s="29">
        <v>10</v>
      </c>
      <c r="G508" s="29">
        <v>112</v>
      </c>
    </row>
    <row r="509" spans="5:7" ht="15.6" x14ac:dyDescent="0.3">
      <c r="E509" s="28">
        <v>500</v>
      </c>
      <c r="F509" s="29">
        <v>10</v>
      </c>
      <c r="G509" s="29">
        <v>92</v>
      </c>
    </row>
    <row r="510" spans="5:7" ht="15.6" x14ac:dyDescent="0.3">
      <c r="E510" s="28">
        <v>501</v>
      </c>
      <c r="F510" s="29">
        <v>7</v>
      </c>
      <c r="G510" s="29">
        <v>74</v>
      </c>
    </row>
    <row r="511" spans="5:7" ht="15.6" x14ac:dyDescent="0.3">
      <c r="E511" s="28">
        <v>502</v>
      </c>
      <c r="F511" s="29">
        <v>8</v>
      </c>
      <c r="G511" s="29">
        <v>100</v>
      </c>
    </row>
    <row r="512" spans="5:7" ht="15.6" x14ac:dyDescent="0.3">
      <c r="E512" s="28">
        <v>503</v>
      </c>
      <c r="F512" s="29">
        <v>10</v>
      </c>
      <c r="G512" s="29">
        <v>94</v>
      </c>
    </row>
    <row r="513" spans="5:7" ht="15.6" x14ac:dyDescent="0.3">
      <c r="E513" s="28">
        <v>504</v>
      </c>
      <c r="F513" s="29">
        <v>3</v>
      </c>
      <c r="G513" s="29">
        <v>97</v>
      </c>
    </row>
    <row r="514" spans="5:7" ht="15.6" x14ac:dyDescent="0.3">
      <c r="E514" s="28">
        <v>505</v>
      </c>
      <c r="F514" s="29">
        <v>4</v>
      </c>
      <c r="G514" s="29">
        <v>83</v>
      </c>
    </row>
    <row r="515" spans="5:7" ht="15.6" x14ac:dyDescent="0.3">
      <c r="E515" s="28">
        <v>506</v>
      </c>
      <c r="F515" s="29">
        <v>4</v>
      </c>
      <c r="G515" s="29">
        <v>83</v>
      </c>
    </row>
    <row r="516" spans="5:7" ht="15.6" x14ac:dyDescent="0.3">
      <c r="E516" s="28">
        <v>507</v>
      </c>
      <c r="F516" s="29">
        <v>5</v>
      </c>
      <c r="G516" s="29">
        <v>110</v>
      </c>
    </row>
    <row r="517" spans="5:7" ht="15.6" x14ac:dyDescent="0.3">
      <c r="E517" s="28">
        <v>508</v>
      </c>
      <c r="F517" s="29">
        <v>9</v>
      </c>
      <c r="G517" s="29">
        <v>81</v>
      </c>
    </row>
    <row r="518" spans="5:7" ht="15.6" x14ac:dyDescent="0.3">
      <c r="E518" s="28">
        <v>509</v>
      </c>
      <c r="F518" s="29">
        <v>3</v>
      </c>
      <c r="G518" s="29">
        <v>78</v>
      </c>
    </row>
    <row r="519" spans="5:7" ht="15.6" x14ac:dyDescent="0.3">
      <c r="E519" s="28">
        <v>510</v>
      </c>
      <c r="F519" s="29">
        <v>1</v>
      </c>
      <c r="G519" s="29">
        <v>53</v>
      </c>
    </row>
    <row r="520" spans="5:7" ht="15.6" x14ac:dyDescent="0.3">
      <c r="E520" s="28">
        <v>511</v>
      </c>
      <c r="F520" s="29">
        <v>4</v>
      </c>
      <c r="G520" s="29">
        <v>98</v>
      </c>
    </row>
    <row r="521" spans="5:7" ht="15.6" x14ac:dyDescent="0.3">
      <c r="E521" s="28">
        <v>512</v>
      </c>
      <c r="F521" s="29">
        <v>8</v>
      </c>
      <c r="G521" s="29">
        <v>79</v>
      </c>
    </row>
    <row r="522" spans="5:7" ht="15.6" x14ac:dyDescent="0.3">
      <c r="E522" s="28">
        <v>513</v>
      </c>
      <c r="F522" s="29">
        <v>9</v>
      </c>
      <c r="G522" s="29">
        <v>59</v>
      </c>
    </row>
    <row r="523" spans="5:7" ht="15.6" x14ac:dyDescent="0.3">
      <c r="E523" s="28">
        <v>514</v>
      </c>
      <c r="F523" s="29">
        <v>3</v>
      </c>
      <c r="G523" s="29">
        <v>68</v>
      </c>
    </row>
    <row r="524" spans="5:7" ht="15.6" x14ac:dyDescent="0.3">
      <c r="E524" s="28">
        <v>515</v>
      </c>
      <c r="F524" s="29">
        <v>9</v>
      </c>
      <c r="G524" s="29">
        <v>76</v>
      </c>
    </row>
    <row r="525" spans="5:7" ht="15.6" x14ac:dyDescent="0.3">
      <c r="E525" s="28">
        <v>516</v>
      </c>
      <c r="F525" s="29">
        <v>3</v>
      </c>
      <c r="G525" s="29">
        <v>86</v>
      </c>
    </row>
    <row r="526" spans="5:7" ht="15.6" x14ac:dyDescent="0.3">
      <c r="E526" s="28">
        <v>517</v>
      </c>
      <c r="F526" s="29">
        <v>9</v>
      </c>
      <c r="G526" s="29">
        <v>93</v>
      </c>
    </row>
    <row r="527" spans="5:7" ht="15.6" x14ac:dyDescent="0.3">
      <c r="E527" s="28">
        <v>518</v>
      </c>
      <c r="F527" s="29">
        <v>9</v>
      </c>
      <c r="G527" s="29">
        <v>115</v>
      </c>
    </row>
    <row r="528" spans="5:7" ht="15.6" x14ac:dyDescent="0.3">
      <c r="E528" s="28">
        <v>519</v>
      </c>
      <c r="F528" s="29">
        <v>7</v>
      </c>
      <c r="G528" s="29">
        <v>104</v>
      </c>
    </row>
    <row r="529" spans="5:7" ht="15.6" x14ac:dyDescent="0.3">
      <c r="E529" s="28">
        <v>520</v>
      </c>
      <c r="F529" s="29">
        <v>4</v>
      </c>
      <c r="G529" s="29">
        <v>77</v>
      </c>
    </row>
    <row r="530" spans="5:7" ht="15.6" x14ac:dyDescent="0.3">
      <c r="E530" s="28">
        <v>521</v>
      </c>
      <c r="F530" s="29">
        <v>4</v>
      </c>
      <c r="G530" s="29"/>
    </row>
    <row r="531" spans="5:7" ht="15.6" x14ac:dyDescent="0.3">
      <c r="E531" s="28">
        <v>522</v>
      </c>
      <c r="F531" s="29">
        <v>5</v>
      </c>
      <c r="G531" s="29">
        <v>87</v>
      </c>
    </row>
    <row r="532" spans="5:7" ht="15.6" x14ac:dyDescent="0.3">
      <c r="E532" s="28">
        <v>523</v>
      </c>
      <c r="F532" s="29">
        <v>8</v>
      </c>
      <c r="G532" s="29">
        <v>90</v>
      </c>
    </row>
    <row r="533" spans="5:7" ht="15.6" x14ac:dyDescent="0.3">
      <c r="E533" s="28">
        <v>524</v>
      </c>
      <c r="F533" s="29">
        <v>5</v>
      </c>
      <c r="G533" s="29">
        <v>85</v>
      </c>
    </row>
    <row r="534" spans="5:7" ht="15.6" x14ac:dyDescent="0.3">
      <c r="E534" s="28">
        <v>525</v>
      </c>
      <c r="F534" s="29">
        <v>6</v>
      </c>
      <c r="G534" s="29">
        <v>87</v>
      </c>
    </row>
    <row r="535" spans="5:7" ht="15.6" x14ac:dyDescent="0.3">
      <c r="E535" s="28">
        <v>526</v>
      </c>
      <c r="F535" s="29">
        <v>9</v>
      </c>
      <c r="G535" s="29">
        <v>108</v>
      </c>
    </row>
    <row r="536" spans="5:7" ht="15.6" x14ac:dyDescent="0.3">
      <c r="E536" s="28">
        <v>527</v>
      </c>
      <c r="F536" s="29">
        <v>8</v>
      </c>
      <c r="G536" s="29">
        <v>91</v>
      </c>
    </row>
    <row r="537" spans="5:7" ht="15.6" x14ac:dyDescent="0.3">
      <c r="E537" s="28">
        <v>528</v>
      </c>
      <c r="F537" s="29">
        <v>2</v>
      </c>
      <c r="G537" s="29">
        <v>96</v>
      </c>
    </row>
    <row r="538" spans="5:7" ht="15.6" x14ac:dyDescent="0.3">
      <c r="E538" s="28">
        <v>529</v>
      </c>
      <c r="F538" s="29">
        <v>10</v>
      </c>
      <c r="G538" s="29"/>
    </row>
    <row r="539" spans="5:7" ht="15.6" x14ac:dyDescent="0.3">
      <c r="E539" s="28">
        <v>530</v>
      </c>
      <c r="F539" s="29">
        <v>3</v>
      </c>
      <c r="G539" s="29">
        <v>91</v>
      </c>
    </row>
    <row r="540" spans="5:7" ht="15.6" x14ac:dyDescent="0.3">
      <c r="E540" s="28">
        <v>531</v>
      </c>
      <c r="F540" s="29">
        <v>9</v>
      </c>
      <c r="G540" s="29">
        <v>82</v>
      </c>
    </row>
    <row r="541" spans="5:7" ht="15.6" x14ac:dyDescent="0.3">
      <c r="E541" s="28">
        <v>532</v>
      </c>
      <c r="F541" s="29">
        <v>9</v>
      </c>
      <c r="G541" s="29">
        <v>107</v>
      </c>
    </row>
    <row r="542" spans="5:7" ht="15.6" x14ac:dyDescent="0.3">
      <c r="E542" s="28">
        <v>533</v>
      </c>
      <c r="F542" s="29">
        <v>10</v>
      </c>
      <c r="G542" s="29">
        <v>93</v>
      </c>
    </row>
    <row r="543" spans="5:7" ht="15.6" x14ac:dyDescent="0.3">
      <c r="E543" s="28">
        <v>534</v>
      </c>
      <c r="F543" s="29">
        <v>10</v>
      </c>
      <c r="G543" s="29">
        <v>114</v>
      </c>
    </row>
    <row r="544" spans="5:7" ht="15.6" x14ac:dyDescent="0.3">
      <c r="E544" s="28">
        <v>535</v>
      </c>
      <c r="F544" s="29">
        <v>10</v>
      </c>
      <c r="G544" s="29">
        <v>98</v>
      </c>
    </row>
    <row r="545" spans="5:7" ht="15.6" x14ac:dyDescent="0.3">
      <c r="E545" s="28">
        <v>536</v>
      </c>
      <c r="F545" s="29">
        <v>10</v>
      </c>
      <c r="G545" s="29">
        <v>105</v>
      </c>
    </row>
    <row r="546" spans="5:7" ht="15.6" x14ac:dyDescent="0.3">
      <c r="E546" s="28">
        <v>537</v>
      </c>
      <c r="F546" s="29">
        <v>10</v>
      </c>
      <c r="G546" s="29">
        <v>112</v>
      </c>
    </row>
    <row r="547" spans="5:7" ht="15.6" x14ac:dyDescent="0.3">
      <c r="E547" s="28">
        <v>538</v>
      </c>
      <c r="F547" s="29">
        <v>9</v>
      </c>
      <c r="G547" s="29"/>
    </row>
    <row r="548" spans="5:7" ht="15.6" x14ac:dyDescent="0.3">
      <c r="E548" s="28">
        <v>539</v>
      </c>
      <c r="F548" s="29">
        <v>10</v>
      </c>
      <c r="G548" s="29">
        <v>103</v>
      </c>
    </row>
    <row r="549" spans="5:7" ht="15.6" x14ac:dyDescent="0.3">
      <c r="E549" s="28">
        <v>540</v>
      </c>
      <c r="F549" s="29">
        <v>5</v>
      </c>
      <c r="G549" s="29">
        <v>76</v>
      </c>
    </row>
    <row r="550" spans="5:7" ht="15.6" x14ac:dyDescent="0.3">
      <c r="E550" s="28">
        <v>541</v>
      </c>
      <c r="F550" s="29">
        <v>7</v>
      </c>
      <c r="G550" s="29">
        <v>93</v>
      </c>
    </row>
    <row r="551" spans="5:7" ht="15.6" x14ac:dyDescent="0.3">
      <c r="E551" s="28">
        <v>542</v>
      </c>
      <c r="F551" s="29">
        <v>4</v>
      </c>
      <c r="G551" s="29">
        <v>108</v>
      </c>
    </row>
    <row r="552" spans="5:7" ht="15.6" x14ac:dyDescent="0.3">
      <c r="E552" s="28">
        <v>543</v>
      </c>
      <c r="F552" s="29">
        <v>9</v>
      </c>
      <c r="G552" s="29">
        <v>86</v>
      </c>
    </row>
    <row r="553" spans="5:7" ht="15.6" x14ac:dyDescent="0.3">
      <c r="E553" s="28">
        <v>544</v>
      </c>
      <c r="F553" s="29">
        <v>8</v>
      </c>
      <c r="G553" s="29">
        <v>77</v>
      </c>
    </row>
    <row r="554" spans="5:7" ht="15.6" x14ac:dyDescent="0.3">
      <c r="E554" s="28">
        <v>545</v>
      </c>
      <c r="F554" s="29">
        <v>6</v>
      </c>
      <c r="G554" s="29">
        <v>83</v>
      </c>
    </row>
    <row r="555" spans="5:7" ht="15.6" x14ac:dyDescent="0.3">
      <c r="E555" s="28">
        <v>546</v>
      </c>
      <c r="F555" s="29">
        <v>10</v>
      </c>
      <c r="G555" s="29">
        <v>116</v>
      </c>
    </row>
    <row r="556" spans="5:7" ht="15.6" x14ac:dyDescent="0.3">
      <c r="E556" s="28">
        <v>547</v>
      </c>
      <c r="F556" s="29">
        <v>8</v>
      </c>
      <c r="G556" s="29">
        <v>102</v>
      </c>
    </row>
    <row r="557" spans="5:7" ht="15.6" x14ac:dyDescent="0.3">
      <c r="E557" s="28">
        <v>548</v>
      </c>
      <c r="F557" s="29">
        <v>7</v>
      </c>
      <c r="G557" s="29">
        <v>78</v>
      </c>
    </row>
    <row r="558" spans="5:7" ht="15.6" x14ac:dyDescent="0.3">
      <c r="E558" s="28">
        <v>549</v>
      </c>
      <c r="F558" s="29">
        <v>7</v>
      </c>
      <c r="G558" s="29">
        <v>101</v>
      </c>
    </row>
    <row r="559" spans="5:7" ht="15.6" x14ac:dyDescent="0.3">
      <c r="E559" s="28">
        <v>550</v>
      </c>
      <c r="F559" s="29">
        <v>4</v>
      </c>
      <c r="G559" s="29">
        <v>86</v>
      </c>
    </row>
    <row r="560" spans="5:7" ht="15.6" x14ac:dyDescent="0.3">
      <c r="E560" s="28">
        <v>551</v>
      </c>
      <c r="F560" s="29">
        <v>8</v>
      </c>
      <c r="G560" s="29">
        <v>102</v>
      </c>
    </row>
    <row r="561" spans="5:7" ht="15.6" x14ac:dyDescent="0.3">
      <c r="E561" s="28">
        <v>552</v>
      </c>
      <c r="F561" s="29">
        <v>7</v>
      </c>
      <c r="G561" s="29">
        <v>91</v>
      </c>
    </row>
    <row r="562" spans="5:7" ht="15.6" x14ac:dyDescent="0.3">
      <c r="E562" s="28">
        <v>553</v>
      </c>
      <c r="F562" s="29">
        <v>6</v>
      </c>
      <c r="G562" s="29">
        <v>98</v>
      </c>
    </row>
    <row r="563" spans="5:7" ht="15.6" x14ac:dyDescent="0.3">
      <c r="E563" s="28">
        <v>554</v>
      </c>
      <c r="F563" s="29">
        <v>9</v>
      </c>
      <c r="G563" s="29">
        <v>88</v>
      </c>
    </row>
    <row r="564" spans="5:7" ht="15.6" x14ac:dyDescent="0.3">
      <c r="E564" s="28">
        <v>555</v>
      </c>
      <c r="F564" s="29">
        <v>7</v>
      </c>
      <c r="G564" s="29">
        <v>81</v>
      </c>
    </row>
    <row r="565" spans="5:7" ht="15.6" x14ac:dyDescent="0.3">
      <c r="E565" s="28">
        <v>556</v>
      </c>
      <c r="F565" s="29">
        <v>8</v>
      </c>
      <c r="G565" s="29">
        <v>90</v>
      </c>
    </row>
    <row r="566" spans="5:7" ht="15.6" x14ac:dyDescent="0.3">
      <c r="E566" s="28">
        <v>557</v>
      </c>
      <c r="F566" s="29">
        <v>6</v>
      </c>
      <c r="G566" s="29">
        <v>85</v>
      </c>
    </row>
    <row r="567" spans="5:7" ht="15.6" x14ac:dyDescent="0.3">
      <c r="E567" s="28">
        <v>558</v>
      </c>
      <c r="F567" s="29">
        <v>9</v>
      </c>
      <c r="G567" s="29">
        <v>95</v>
      </c>
    </row>
    <row r="568" spans="5:7" ht="15.6" x14ac:dyDescent="0.3">
      <c r="E568" s="28">
        <v>559</v>
      </c>
      <c r="F568" s="29">
        <v>8</v>
      </c>
      <c r="G568" s="29">
        <v>83</v>
      </c>
    </row>
    <row r="569" spans="5:7" ht="15.6" x14ac:dyDescent="0.3">
      <c r="E569" s="28">
        <v>560</v>
      </c>
      <c r="F569" s="29">
        <v>9</v>
      </c>
      <c r="G569" s="29">
        <v>93</v>
      </c>
    </row>
    <row r="570" spans="5:7" ht="15.6" x14ac:dyDescent="0.3">
      <c r="E570" s="28">
        <v>561</v>
      </c>
      <c r="F570" s="29">
        <v>5</v>
      </c>
      <c r="G570" s="29">
        <v>91</v>
      </c>
    </row>
    <row r="571" spans="5:7" ht="15.6" x14ac:dyDescent="0.3">
      <c r="E571" s="28">
        <v>562</v>
      </c>
      <c r="F571" s="29">
        <v>6</v>
      </c>
      <c r="G571" s="29">
        <v>85</v>
      </c>
    </row>
    <row r="572" spans="5:7" ht="15.6" x14ac:dyDescent="0.3">
      <c r="E572" s="28">
        <v>563</v>
      </c>
      <c r="F572" s="29">
        <v>4</v>
      </c>
      <c r="G572" s="29">
        <v>81</v>
      </c>
    </row>
    <row r="573" spans="5:7" ht="15.6" x14ac:dyDescent="0.3">
      <c r="E573" s="28">
        <v>564</v>
      </c>
      <c r="F573" s="29">
        <v>6</v>
      </c>
      <c r="G573" s="29">
        <v>108</v>
      </c>
    </row>
    <row r="574" spans="5:7" ht="15.6" x14ac:dyDescent="0.3">
      <c r="E574" s="28">
        <v>565</v>
      </c>
      <c r="F574" s="29">
        <v>4</v>
      </c>
      <c r="G574" s="29">
        <v>73</v>
      </c>
    </row>
    <row r="575" spans="5:7" ht="15.6" x14ac:dyDescent="0.3">
      <c r="E575" s="28">
        <v>566</v>
      </c>
      <c r="F575" s="29">
        <v>8</v>
      </c>
      <c r="G575" s="29">
        <v>97</v>
      </c>
    </row>
    <row r="576" spans="5:7" ht="15.6" x14ac:dyDescent="0.3">
      <c r="E576" s="28">
        <v>567</v>
      </c>
      <c r="F576" s="29">
        <v>5</v>
      </c>
      <c r="G576" s="29">
        <v>103</v>
      </c>
    </row>
    <row r="577" spans="5:7" ht="15.6" x14ac:dyDescent="0.3">
      <c r="E577" s="28">
        <v>568</v>
      </c>
      <c r="F577" s="29">
        <v>7</v>
      </c>
      <c r="G577" s="29">
        <v>95</v>
      </c>
    </row>
    <row r="578" spans="5:7" ht="15.6" x14ac:dyDescent="0.3">
      <c r="E578" s="28">
        <v>569</v>
      </c>
      <c r="F578" s="29">
        <v>9</v>
      </c>
      <c r="G578" s="29">
        <v>112</v>
      </c>
    </row>
    <row r="579" spans="5:7" ht="15.6" x14ac:dyDescent="0.3">
      <c r="E579" s="28">
        <v>570</v>
      </c>
      <c r="F579" s="29">
        <v>8</v>
      </c>
      <c r="G579" s="29">
        <v>106</v>
      </c>
    </row>
    <row r="580" spans="5:7" ht="15.6" x14ac:dyDescent="0.3">
      <c r="E580" s="28">
        <v>571</v>
      </c>
      <c r="F580" s="29">
        <v>10</v>
      </c>
      <c r="G580" s="29">
        <v>89</v>
      </c>
    </row>
    <row r="581" spans="5:7" ht="15.6" x14ac:dyDescent="0.3">
      <c r="E581" s="28">
        <v>572</v>
      </c>
      <c r="F581" s="29">
        <v>5</v>
      </c>
      <c r="G581" s="29">
        <v>80</v>
      </c>
    </row>
    <row r="582" spans="5:7" ht="15.6" x14ac:dyDescent="0.3">
      <c r="E582" s="28">
        <v>573</v>
      </c>
      <c r="F582" s="29">
        <v>4</v>
      </c>
      <c r="G582" s="29">
        <v>66</v>
      </c>
    </row>
    <row r="583" spans="5:7" ht="15.6" x14ac:dyDescent="0.3">
      <c r="E583" s="28">
        <v>574</v>
      </c>
      <c r="F583" s="29">
        <v>8</v>
      </c>
      <c r="G583" s="29">
        <v>90</v>
      </c>
    </row>
    <row r="584" spans="5:7" ht="15.6" x14ac:dyDescent="0.3">
      <c r="E584" s="28">
        <v>575</v>
      </c>
      <c r="F584" s="29">
        <v>9</v>
      </c>
      <c r="G584" s="29">
        <v>95</v>
      </c>
    </row>
    <row r="585" spans="5:7" ht="15.6" x14ac:dyDescent="0.3">
      <c r="E585" s="28">
        <v>576</v>
      </c>
      <c r="F585" s="29">
        <v>8</v>
      </c>
      <c r="G585" s="29">
        <v>111</v>
      </c>
    </row>
    <row r="586" spans="5:7" ht="15.6" x14ac:dyDescent="0.3">
      <c r="E586" s="28">
        <v>577</v>
      </c>
      <c r="F586" s="29">
        <v>9</v>
      </c>
      <c r="G586" s="29">
        <v>90</v>
      </c>
    </row>
    <row r="587" spans="5:7" ht="15.6" x14ac:dyDescent="0.3">
      <c r="E587" s="28">
        <v>578</v>
      </c>
      <c r="F587" s="29">
        <v>7</v>
      </c>
      <c r="G587" s="29">
        <v>79</v>
      </c>
    </row>
    <row r="588" spans="5:7" ht="15.6" x14ac:dyDescent="0.3">
      <c r="E588" s="28">
        <v>579</v>
      </c>
      <c r="F588" s="29">
        <v>7</v>
      </c>
      <c r="G588" s="29">
        <v>96</v>
      </c>
    </row>
    <row r="589" spans="5:7" ht="15.6" x14ac:dyDescent="0.3">
      <c r="E589" s="28">
        <v>580</v>
      </c>
      <c r="F589" s="29">
        <v>8</v>
      </c>
      <c r="G589" s="29">
        <v>86</v>
      </c>
    </row>
    <row r="590" spans="5:7" ht="15.6" x14ac:dyDescent="0.3">
      <c r="E590" s="28">
        <v>581</v>
      </c>
      <c r="F590" s="29">
        <v>4</v>
      </c>
      <c r="G590" s="29">
        <v>67</v>
      </c>
    </row>
    <row r="591" spans="5:7" ht="15.6" x14ac:dyDescent="0.3">
      <c r="E591" s="28">
        <v>582</v>
      </c>
      <c r="F591" s="29">
        <v>1</v>
      </c>
      <c r="G591" s="29">
        <v>31</v>
      </c>
    </row>
    <row r="592" spans="5:7" ht="15.6" x14ac:dyDescent="0.3">
      <c r="E592" s="28">
        <v>583</v>
      </c>
      <c r="F592" s="29">
        <v>4</v>
      </c>
      <c r="G592" s="29">
        <v>66</v>
      </c>
    </row>
    <row r="593" spans="5:7" ht="15.6" x14ac:dyDescent="0.3">
      <c r="E593" s="28">
        <v>584</v>
      </c>
      <c r="F593" s="29">
        <v>4</v>
      </c>
      <c r="G593" s="29">
        <v>40</v>
      </c>
    </row>
    <row r="594" spans="5:7" ht="15.6" x14ac:dyDescent="0.3">
      <c r="E594" s="28">
        <v>585</v>
      </c>
      <c r="F594" s="29">
        <v>1</v>
      </c>
      <c r="G594" s="29">
        <v>67</v>
      </c>
    </row>
    <row r="595" spans="5:7" ht="15.6" x14ac:dyDescent="0.3">
      <c r="E595" s="28">
        <v>586</v>
      </c>
      <c r="F595" s="29">
        <v>3</v>
      </c>
      <c r="G595" s="29"/>
    </row>
    <row r="596" spans="5:7" ht="15.6" x14ac:dyDescent="0.3">
      <c r="E596" s="28">
        <v>587</v>
      </c>
      <c r="F596" s="29">
        <v>3</v>
      </c>
      <c r="G596" s="29">
        <v>98</v>
      </c>
    </row>
    <row r="597" spans="5:7" ht="15.6" x14ac:dyDescent="0.3">
      <c r="E597" s="28">
        <v>588</v>
      </c>
      <c r="F597" s="29">
        <v>9</v>
      </c>
      <c r="G597" s="29">
        <v>60</v>
      </c>
    </row>
    <row r="598" spans="5:7" ht="15.6" x14ac:dyDescent="0.3">
      <c r="E598" s="28">
        <v>589</v>
      </c>
      <c r="F598" s="29">
        <v>4</v>
      </c>
      <c r="G598" s="29">
        <v>93</v>
      </c>
    </row>
    <row r="599" spans="5:7" ht="15.6" x14ac:dyDescent="0.3">
      <c r="E599" s="28">
        <v>590</v>
      </c>
      <c r="F599" s="29">
        <v>2</v>
      </c>
      <c r="G599" s="29">
        <v>55</v>
      </c>
    </row>
    <row r="600" spans="5:7" ht="15.6" x14ac:dyDescent="0.3">
      <c r="E600" s="28">
        <v>591</v>
      </c>
      <c r="F600" s="29">
        <v>5</v>
      </c>
      <c r="G600" s="29">
        <v>87</v>
      </c>
    </row>
    <row r="601" spans="5:7" ht="15.6" x14ac:dyDescent="0.3">
      <c r="E601" s="28">
        <v>592</v>
      </c>
      <c r="F601" s="29">
        <v>2</v>
      </c>
      <c r="G601" s="29">
        <v>80</v>
      </c>
    </row>
    <row r="602" spans="5:7" ht="15.6" x14ac:dyDescent="0.3">
      <c r="E602" s="28">
        <v>593</v>
      </c>
      <c r="F602" s="29">
        <v>4</v>
      </c>
      <c r="G602" s="29"/>
    </row>
    <row r="603" spans="5:7" ht="15.6" x14ac:dyDescent="0.3">
      <c r="E603" s="28">
        <v>594</v>
      </c>
      <c r="F603" s="29">
        <v>2</v>
      </c>
      <c r="G603" s="29">
        <v>52</v>
      </c>
    </row>
    <row r="604" spans="5:7" ht="15.6" x14ac:dyDescent="0.3">
      <c r="E604" s="28">
        <v>595</v>
      </c>
      <c r="F604" s="29">
        <v>4</v>
      </c>
      <c r="G604" s="29">
        <v>76</v>
      </c>
    </row>
    <row r="605" spans="5:7" ht="15.6" x14ac:dyDescent="0.3">
      <c r="E605" s="28">
        <v>596</v>
      </c>
      <c r="F605" s="29">
        <v>3</v>
      </c>
      <c r="G605" s="29">
        <v>96</v>
      </c>
    </row>
    <row r="606" spans="5:7" ht="15.6" x14ac:dyDescent="0.3">
      <c r="E606" s="28">
        <v>597</v>
      </c>
      <c r="F606" s="29">
        <v>5</v>
      </c>
      <c r="G606" s="29">
        <v>103</v>
      </c>
    </row>
    <row r="607" spans="5:7" ht="15.6" x14ac:dyDescent="0.3">
      <c r="E607" s="28">
        <v>598</v>
      </c>
      <c r="F607" s="29">
        <v>9</v>
      </c>
      <c r="G607" s="29">
        <v>92</v>
      </c>
    </row>
    <row r="608" spans="5:7" ht="15.6" x14ac:dyDescent="0.3">
      <c r="E608" s="28">
        <v>599</v>
      </c>
      <c r="F608" s="29">
        <v>8</v>
      </c>
      <c r="G608" s="29">
        <v>104</v>
      </c>
    </row>
    <row r="609" spans="5:7" ht="15.6" x14ac:dyDescent="0.3">
      <c r="E609" s="28">
        <v>600</v>
      </c>
      <c r="F609" s="29">
        <v>1</v>
      </c>
      <c r="G609" s="29">
        <v>111</v>
      </c>
    </row>
    <row r="610" spans="5:7" ht="15.6" x14ac:dyDescent="0.3">
      <c r="E610" s="28">
        <v>601</v>
      </c>
      <c r="F610" s="29">
        <v>3</v>
      </c>
      <c r="G610" s="29">
        <v>91</v>
      </c>
    </row>
    <row r="611" spans="5:7" ht="15.6" x14ac:dyDescent="0.3">
      <c r="E611" s="28">
        <v>602</v>
      </c>
      <c r="F611" s="29">
        <v>3</v>
      </c>
      <c r="G611" s="29">
        <v>81</v>
      </c>
    </row>
    <row r="612" spans="5:7" ht="15.6" x14ac:dyDescent="0.3">
      <c r="E612" s="28">
        <v>603</v>
      </c>
      <c r="F612" s="29">
        <v>6</v>
      </c>
      <c r="G612" s="29">
        <v>96</v>
      </c>
    </row>
    <row r="613" spans="5:7" ht="15.6" x14ac:dyDescent="0.3">
      <c r="E613" s="28">
        <v>604</v>
      </c>
      <c r="F613" s="29">
        <v>5</v>
      </c>
      <c r="G613" s="29">
        <v>91</v>
      </c>
    </row>
    <row r="614" spans="5:7" ht="15.6" x14ac:dyDescent="0.3">
      <c r="E614" s="28">
        <v>605</v>
      </c>
      <c r="F614" s="29">
        <v>8</v>
      </c>
      <c r="G614" s="29">
        <v>100</v>
      </c>
    </row>
    <row r="615" spans="5:7" ht="15.6" x14ac:dyDescent="0.3">
      <c r="E615" s="28">
        <v>606</v>
      </c>
      <c r="F615" s="29">
        <v>3</v>
      </c>
      <c r="G615" s="29">
        <v>114</v>
      </c>
    </row>
    <row r="616" spans="5:7" ht="15.6" x14ac:dyDescent="0.3">
      <c r="E616" s="28">
        <v>607</v>
      </c>
      <c r="F616" s="29">
        <v>5</v>
      </c>
      <c r="G616" s="29">
        <v>77</v>
      </c>
    </row>
    <row r="617" spans="5:7" ht="15.6" x14ac:dyDescent="0.3">
      <c r="E617" s="28">
        <v>608</v>
      </c>
      <c r="F617" s="29">
        <v>4</v>
      </c>
      <c r="G617" s="29">
        <v>93</v>
      </c>
    </row>
    <row r="618" spans="5:7" ht="15.6" x14ac:dyDescent="0.3">
      <c r="E618" s="28">
        <v>609</v>
      </c>
      <c r="F618" s="29">
        <v>4</v>
      </c>
      <c r="G618" s="29">
        <v>86</v>
      </c>
    </row>
    <row r="619" spans="5:7" ht="15.6" x14ac:dyDescent="0.3">
      <c r="E619" s="28">
        <v>610</v>
      </c>
      <c r="F619" s="29">
        <v>5</v>
      </c>
      <c r="G619" s="29">
        <v>72</v>
      </c>
    </row>
    <row r="620" spans="5:7" ht="15.6" x14ac:dyDescent="0.3">
      <c r="E620" s="28">
        <v>611</v>
      </c>
      <c r="F620" s="29">
        <v>4</v>
      </c>
      <c r="G620" s="29">
        <v>102</v>
      </c>
    </row>
    <row r="621" spans="5:7" ht="15.6" x14ac:dyDescent="0.3">
      <c r="E621" s="28">
        <v>612</v>
      </c>
      <c r="F621" s="29">
        <v>3</v>
      </c>
      <c r="G621" s="29">
        <v>85</v>
      </c>
    </row>
    <row r="622" spans="5:7" ht="15.6" x14ac:dyDescent="0.3">
      <c r="E622" s="28">
        <v>613</v>
      </c>
      <c r="F622" s="29">
        <v>1</v>
      </c>
      <c r="G622" s="29">
        <v>104</v>
      </c>
    </row>
    <row r="623" spans="5:7" ht="15.6" x14ac:dyDescent="0.3">
      <c r="E623" s="28">
        <v>614</v>
      </c>
      <c r="F623" s="29">
        <v>7</v>
      </c>
      <c r="G623" s="29">
        <v>68</v>
      </c>
    </row>
    <row r="624" spans="5:7" ht="15.6" x14ac:dyDescent="0.3">
      <c r="E624" s="28">
        <v>615</v>
      </c>
      <c r="F624" s="29">
        <v>10</v>
      </c>
      <c r="G624" s="29">
        <v>98</v>
      </c>
    </row>
    <row r="625" spans="5:7" ht="15.6" x14ac:dyDescent="0.3">
      <c r="E625" s="28">
        <v>616</v>
      </c>
      <c r="F625" s="29">
        <v>2</v>
      </c>
      <c r="G625" s="29">
        <v>104</v>
      </c>
    </row>
    <row r="626" spans="5:7" ht="15.6" x14ac:dyDescent="0.3">
      <c r="E626" s="28">
        <v>617</v>
      </c>
      <c r="F626" s="29">
        <v>10</v>
      </c>
      <c r="G626" s="29">
        <v>74</v>
      </c>
    </row>
    <row r="627" spans="5:7" ht="15.6" x14ac:dyDescent="0.3">
      <c r="E627" s="28">
        <v>618</v>
      </c>
      <c r="F627" s="29">
        <v>7</v>
      </c>
      <c r="G627" s="29">
        <v>93</v>
      </c>
    </row>
    <row r="628" spans="5:7" ht="15.6" x14ac:dyDescent="0.3">
      <c r="E628" s="28">
        <v>619</v>
      </c>
      <c r="F628" s="29">
        <v>1</v>
      </c>
      <c r="G628" s="29">
        <v>49</v>
      </c>
    </row>
    <row r="629" spans="5:7" ht="15.6" x14ac:dyDescent="0.3">
      <c r="E629" s="28">
        <v>620</v>
      </c>
      <c r="F629" s="29">
        <v>10</v>
      </c>
      <c r="G629" s="29">
        <v>93</v>
      </c>
    </row>
    <row r="630" spans="5:7" ht="15.6" x14ac:dyDescent="0.3">
      <c r="E630" s="28">
        <v>621</v>
      </c>
      <c r="F630" s="29">
        <v>4</v>
      </c>
      <c r="G630" s="29">
        <v>53</v>
      </c>
    </row>
    <row r="631" spans="5:7" ht="15.6" x14ac:dyDescent="0.3">
      <c r="E631" s="28">
        <v>622</v>
      </c>
      <c r="F631" s="29">
        <v>5</v>
      </c>
      <c r="G631" s="29">
        <v>68</v>
      </c>
    </row>
    <row r="632" spans="5:7" ht="15.6" x14ac:dyDescent="0.3">
      <c r="E632" s="28">
        <v>623</v>
      </c>
      <c r="F632" s="29">
        <v>8</v>
      </c>
      <c r="G632" s="29">
        <v>104</v>
      </c>
    </row>
    <row r="633" spans="5:7" ht="15.6" x14ac:dyDescent="0.3">
      <c r="E633" s="28">
        <v>624</v>
      </c>
      <c r="F633" s="29">
        <v>2</v>
      </c>
      <c r="G633" s="29">
        <v>87</v>
      </c>
    </row>
    <row r="634" spans="5:7" ht="15.6" x14ac:dyDescent="0.3">
      <c r="E634" s="28">
        <v>625</v>
      </c>
      <c r="F634" s="29">
        <v>5</v>
      </c>
      <c r="G634" s="29">
        <v>80</v>
      </c>
    </row>
    <row r="635" spans="5:7" ht="15.6" x14ac:dyDescent="0.3">
      <c r="E635" s="28">
        <v>626</v>
      </c>
      <c r="F635" s="29">
        <v>5</v>
      </c>
      <c r="G635" s="29">
        <v>59</v>
      </c>
    </row>
    <row r="636" spans="5:7" ht="15.6" x14ac:dyDescent="0.3">
      <c r="E636" s="28">
        <v>627</v>
      </c>
      <c r="F636" s="29">
        <v>10</v>
      </c>
      <c r="G636" s="29">
        <v>97</v>
      </c>
    </row>
    <row r="637" spans="5:7" ht="15.6" x14ac:dyDescent="0.3">
      <c r="E637" s="28">
        <v>628</v>
      </c>
      <c r="F637" s="29">
        <v>8</v>
      </c>
      <c r="G637" s="29">
        <v>81</v>
      </c>
    </row>
    <row r="638" spans="5:7" ht="15.6" x14ac:dyDescent="0.3">
      <c r="E638" s="28">
        <v>629</v>
      </c>
      <c r="F638" s="29">
        <v>5</v>
      </c>
      <c r="G638" s="29">
        <v>101</v>
      </c>
    </row>
    <row r="639" spans="5:7" ht="15.6" x14ac:dyDescent="0.3">
      <c r="E639" s="28">
        <v>630</v>
      </c>
      <c r="F639" s="29">
        <v>9</v>
      </c>
      <c r="G639" s="29">
        <v>92</v>
      </c>
    </row>
    <row r="640" spans="5:7" ht="15.6" x14ac:dyDescent="0.3">
      <c r="E640" s="28">
        <v>631</v>
      </c>
      <c r="F640" s="29">
        <v>3</v>
      </c>
      <c r="G640" s="29">
        <v>104</v>
      </c>
    </row>
    <row r="641" spans="5:7" ht="15.6" x14ac:dyDescent="0.3">
      <c r="E641" s="28">
        <v>632</v>
      </c>
      <c r="F641" s="29">
        <v>8</v>
      </c>
      <c r="G641" s="29">
        <v>91</v>
      </c>
    </row>
    <row r="642" spans="5:7" ht="15.6" x14ac:dyDescent="0.3">
      <c r="E642" s="28">
        <v>633</v>
      </c>
      <c r="F642" s="29">
        <v>1</v>
      </c>
      <c r="G642" s="29">
        <v>96</v>
      </c>
    </row>
    <row r="643" spans="5:7" ht="15.6" x14ac:dyDescent="0.3">
      <c r="E643" s="28">
        <v>634</v>
      </c>
      <c r="F643" s="29">
        <v>9</v>
      </c>
      <c r="G643" s="29">
        <v>113</v>
      </c>
    </row>
    <row r="644" spans="5:7" ht="15.6" x14ac:dyDescent="0.3">
      <c r="E644" s="28">
        <v>635</v>
      </c>
      <c r="F644" s="29">
        <v>4</v>
      </c>
      <c r="G644" s="29">
        <v>93</v>
      </c>
    </row>
    <row r="645" spans="5:7" ht="15.6" x14ac:dyDescent="0.3">
      <c r="E645" s="28">
        <v>636</v>
      </c>
      <c r="F645" s="29">
        <v>5</v>
      </c>
      <c r="G645" s="29">
        <v>101</v>
      </c>
    </row>
    <row r="646" spans="5:7" ht="15.6" x14ac:dyDescent="0.3">
      <c r="E646" s="28">
        <v>637</v>
      </c>
      <c r="F646" s="29">
        <v>1</v>
      </c>
      <c r="G646" s="29">
        <v>107</v>
      </c>
    </row>
    <row r="647" spans="5:7" ht="15.6" x14ac:dyDescent="0.3">
      <c r="E647" s="28">
        <v>638</v>
      </c>
      <c r="F647" s="29">
        <v>4</v>
      </c>
      <c r="G647" s="29">
        <v>74</v>
      </c>
    </row>
    <row r="648" spans="5:7" ht="15.6" x14ac:dyDescent="0.3">
      <c r="E648" s="28">
        <v>639</v>
      </c>
      <c r="F648" s="29">
        <v>2</v>
      </c>
      <c r="G648" s="29">
        <v>97</v>
      </c>
    </row>
    <row r="649" spans="5:7" ht="15.6" x14ac:dyDescent="0.3">
      <c r="E649" s="28">
        <v>640</v>
      </c>
      <c r="F649" s="29">
        <v>2</v>
      </c>
      <c r="G649" s="29">
        <v>100</v>
      </c>
    </row>
    <row r="650" spans="5:7" ht="15.6" x14ac:dyDescent="0.3">
      <c r="E650" s="28">
        <v>641</v>
      </c>
      <c r="F650" s="29">
        <v>9</v>
      </c>
      <c r="G650" s="29">
        <v>102</v>
      </c>
    </row>
    <row r="651" spans="5:7" ht="15.6" x14ac:dyDescent="0.3">
      <c r="E651" s="28">
        <v>642</v>
      </c>
      <c r="F651" s="29">
        <v>9</v>
      </c>
      <c r="G651" s="29">
        <v>94</v>
      </c>
    </row>
    <row r="652" spans="5:7" ht="15.6" x14ac:dyDescent="0.3">
      <c r="E652" s="28">
        <v>643</v>
      </c>
      <c r="F652" s="29">
        <v>4</v>
      </c>
      <c r="G652" s="29">
        <v>95</v>
      </c>
    </row>
    <row r="653" spans="5:7" ht="15.6" x14ac:dyDescent="0.3">
      <c r="E653" s="28">
        <v>644</v>
      </c>
      <c r="F653" s="29">
        <v>10</v>
      </c>
      <c r="G653" s="29">
        <v>109</v>
      </c>
    </row>
    <row r="654" spans="5:7" ht="15.6" x14ac:dyDescent="0.3">
      <c r="E654" s="28">
        <v>645</v>
      </c>
      <c r="F654" s="29">
        <v>5</v>
      </c>
      <c r="G654" s="29">
        <v>109</v>
      </c>
    </row>
    <row r="655" spans="5:7" ht="15.6" x14ac:dyDescent="0.3">
      <c r="E655" s="28">
        <v>646</v>
      </c>
      <c r="F655" s="29">
        <v>5</v>
      </c>
      <c r="G655" s="29">
        <v>102</v>
      </c>
    </row>
    <row r="656" spans="5:7" ht="15.6" x14ac:dyDescent="0.3">
      <c r="E656" s="28">
        <v>647</v>
      </c>
      <c r="F656" s="29">
        <v>5</v>
      </c>
      <c r="G656" s="29">
        <v>103</v>
      </c>
    </row>
    <row r="657" spans="5:7" ht="15.6" x14ac:dyDescent="0.3">
      <c r="E657" s="28">
        <v>648</v>
      </c>
      <c r="F657" s="29">
        <v>10</v>
      </c>
      <c r="G657" s="29">
        <v>110</v>
      </c>
    </row>
    <row r="658" spans="5:7" ht="15.6" x14ac:dyDescent="0.3">
      <c r="E658" s="28">
        <v>649</v>
      </c>
      <c r="F658" s="29">
        <v>3</v>
      </c>
      <c r="G658" s="29">
        <v>107</v>
      </c>
    </row>
    <row r="659" spans="5:7" ht="15.6" x14ac:dyDescent="0.3">
      <c r="E659" s="28">
        <v>650</v>
      </c>
      <c r="F659" s="29">
        <v>3</v>
      </c>
      <c r="G659" s="29"/>
    </row>
    <row r="660" spans="5:7" ht="15.6" x14ac:dyDescent="0.3">
      <c r="E660" s="28">
        <v>651</v>
      </c>
      <c r="F660" s="29">
        <v>4</v>
      </c>
      <c r="G660" s="29">
        <v>89</v>
      </c>
    </row>
    <row r="661" spans="5:7" ht="15.6" x14ac:dyDescent="0.3">
      <c r="E661" s="28">
        <v>652</v>
      </c>
      <c r="F661" s="29">
        <v>8</v>
      </c>
      <c r="G661" s="29">
        <v>93</v>
      </c>
    </row>
    <row r="662" spans="5:7" ht="15.6" x14ac:dyDescent="0.3">
      <c r="E662" s="28">
        <v>653</v>
      </c>
      <c r="F662" s="29">
        <v>7</v>
      </c>
      <c r="G662" s="29">
        <v>103</v>
      </c>
    </row>
    <row r="663" spans="5:7" ht="15.6" x14ac:dyDescent="0.3">
      <c r="E663" s="28">
        <v>654</v>
      </c>
      <c r="F663" s="29">
        <v>8</v>
      </c>
      <c r="G663" s="29">
        <v>75</v>
      </c>
    </row>
    <row r="664" spans="5:7" ht="15.6" x14ac:dyDescent="0.3">
      <c r="E664" s="28">
        <v>655</v>
      </c>
      <c r="F664" s="29">
        <v>9</v>
      </c>
      <c r="G664" s="29">
        <v>94</v>
      </c>
    </row>
    <row r="665" spans="5:7" ht="15.6" x14ac:dyDescent="0.3">
      <c r="E665" s="28">
        <v>656</v>
      </c>
      <c r="F665" s="29">
        <v>8</v>
      </c>
      <c r="G665" s="29">
        <v>55</v>
      </c>
    </row>
    <row r="666" spans="5:7" ht="15.6" x14ac:dyDescent="0.3">
      <c r="E666" s="28">
        <v>657</v>
      </c>
      <c r="F666" s="29">
        <v>10</v>
      </c>
      <c r="G666" s="29">
        <v>56</v>
      </c>
    </row>
    <row r="667" spans="5:7" ht="15.6" x14ac:dyDescent="0.3">
      <c r="E667" s="28">
        <v>658</v>
      </c>
      <c r="F667" s="29">
        <v>7</v>
      </c>
      <c r="G667" s="29">
        <v>105</v>
      </c>
    </row>
    <row r="668" spans="5:7" ht="15.6" x14ac:dyDescent="0.3">
      <c r="E668" s="28">
        <v>659</v>
      </c>
      <c r="F668" s="29">
        <v>4</v>
      </c>
      <c r="G668" s="29">
        <v>91</v>
      </c>
    </row>
    <row r="669" spans="5:7" ht="15.6" x14ac:dyDescent="0.3">
      <c r="E669" s="28">
        <v>660</v>
      </c>
      <c r="F669" s="29">
        <v>9</v>
      </c>
      <c r="G669" s="29">
        <v>98</v>
      </c>
    </row>
    <row r="670" spans="5:7" ht="15.6" x14ac:dyDescent="0.3">
      <c r="E670" s="28">
        <v>661</v>
      </c>
      <c r="F670" s="29">
        <v>7</v>
      </c>
      <c r="G670" s="29">
        <v>69</v>
      </c>
    </row>
    <row r="671" spans="5:7" ht="15.6" x14ac:dyDescent="0.3">
      <c r="E671" s="28">
        <v>662</v>
      </c>
      <c r="F671" s="29">
        <v>4</v>
      </c>
      <c r="G671" s="29">
        <v>77</v>
      </c>
    </row>
    <row r="672" spans="5:7" ht="15.6" x14ac:dyDescent="0.3">
      <c r="E672" s="28">
        <v>663</v>
      </c>
      <c r="F672" s="29">
        <v>4</v>
      </c>
      <c r="G672" s="29">
        <v>88</v>
      </c>
    </row>
    <row r="673" spans="5:7" ht="15.6" x14ac:dyDescent="0.3">
      <c r="E673" s="28">
        <v>664</v>
      </c>
      <c r="F673" s="29">
        <v>8</v>
      </c>
      <c r="G673" s="29">
        <v>108</v>
      </c>
    </row>
    <row r="674" spans="5:7" ht="15.6" x14ac:dyDescent="0.3">
      <c r="E674" s="28">
        <v>665</v>
      </c>
      <c r="F674" s="29">
        <v>7</v>
      </c>
      <c r="G674" s="29">
        <v>92</v>
      </c>
    </row>
    <row r="675" spans="5:7" ht="15.6" x14ac:dyDescent="0.3">
      <c r="E675" s="28">
        <v>666</v>
      </c>
      <c r="F675" s="29">
        <v>9</v>
      </c>
      <c r="G675" s="29">
        <v>96</v>
      </c>
    </row>
    <row r="676" spans="5:7" ht="15.6" x14ac:dyDescent="0.3">
      <c r="E676" s="28">
        <v>667</v>
      </c>
      <c r="F676" s="29">
        <v>6</v>
      </c>
      <c r="G676" s="29">
        <v>70</v>
      </c>
    </row>
    <row r="677" spans="5:7" ht="15.6" x14ac:dyDescent="0.3">
      <c r="E677" s="28">
        <v>668</v>
      </c>
      <c r="F677" s="29">
        <v>8</v>
      </c>
      <c r="G677" s="29">
        <v>68</v>
      </c>
    </row>
    <row r="678" spans="5:7" ht="15.6" x14ac:dyDescent="0.3">
      <c r="E678" s="28">
        <v>669</v>
      </c>
      <c r="F678" s="29">
        <v>7</v>
      </c>
      <c r="G678" s="29">
        <v>110</v>
      </c>
    </row>
    <row r="679" spans="5:7" ht="15.6" x14ac:dyDescent="0.3">
      <c r="E679" s="28">
        <v>670</v>
      </c>
      <c r="F679" s="29">
        <v>9</v>
      </c>
      <c r="G679" s="29">
        <v>94</v>
      </c>
    </row>
    <row r="680" spans="5:7" ht="15.6" x14ac:dyDescent="0.3">
      <c r="E680" s="28">
        <v>671</v>
      </c>
      <c r="F680" s="29">
        <v>8</v>
      </c>
      <c r="G680" s="29">
        <v>92</v>
      </c>
    </row>
    <row r="681" spans="5:7" ht="15.6" x14ac:dyDescent="0.3">
      <c r="E681" s="28">
        <v>672</v>
      </c>
      <c r="F681" s="29">
        <v>7</v>
      </c>
      <c r="G681" s="29">
        <v>78</v>
      </c>
    </row>
    <row r="682" spans="5:7" ht="15.6" x14ac:dyDescent="0.3">
      <c r="E682" s="28">
        <v>673</v>
      </c>
      <c r="F682" s="29">
        <v>5</v>
      </c>
      <c r="G682" s="29">
        <v>94</v>
      </c>
    </row>
    <row r="683" spans="5:7" ht="15.6" x14ac:dyDescent="0.3">
      <c r="E683" s="28">
        <v>674</v>
      </c>
      <c r="F683" s="29">
        <v>7</v>
      </c>
      <c r="G683" s="29">
        <v>108</v>
      </c>
    </row>
    <row r="684" spans="5:7" ht="15.6" x14ac:dyDescent="0.3">
      <c r="E684" s="28">
        <v>675</v>
      </c>
      <c r="F684" s="29">
        <v>3</v>
      </c>
      <c r="G684" s="29">
        <v>100</v>
      </c>
    </row>
    <row r="685" spans="5:7" ht="15.6" x14ac:dyDescent="0.3">
      <c r="E685" s="28">
        <v>676</v>
      </c>
      <c r="F685" s="29">
        <v>5</v>
      </c>
      <c r="G685" s="29">
        <v>95</v>
      </c>
    </row>
    <row r="686" spans="5:7" ht="15.6" x14ac:dyDescent="0.3">
      <c r="E686" s="28">
        <v>677</v>
      </c>
      <c r="F686" s="29">
        <v>4</v>
      </c>
      <c r="G686" s="29">
        <v>91</v>
      </c>
    </row>
    <row r="687" spans="5:7" ht="15.6" x14ac:dyDescent="0.3">
      <c r="E687" s="28">
        <v>678</v>
      </c>
      <c r="F687" s="29">
        <v>10</v>
      </c>
      <c r="G687" s="29">
        <v>114</v>
      </c>
    </row>
    <row r="688" spans="5:7" ht="15.6" x14ac:dyDescent="0.3">
      <c r="E688" s="28">
        <v>679</v>
      </c>
      <c r="F688" s="29">
        <v>6</v>
      </c>
      <c r="G688" s="29">
        <v>96</v>
      </c>
    </row>
    <row r="689" spans="5:7" ht="15.6" x14ac:dyDescent="0.3">
      <c r="E689" s="28">
        <v>680</v>
      </c>
      <c r="F689" s="29">
        <v>4</v>
      </c>
      <c r="G689" s="29">
        <v>84</v>
      </c>
    </row>
    <row r="690" spans="5:7" ht="15.6" x14ac:dyDescent="0.3">
      <c r="E690" s="28">
        <v>681</v>
      </c>
      <c r="F690" s="29">
        <v>2</v>
      </c>
      <c r="G690" s="29">
        <v>97</v>
      </c>
    </row>
    <row r="691" spans="5:7" ht="15.6" x14ac:dyDescent="0.3">
      <c r="E691" s="28">
        <v>682</v>
      </c>
      <c r="F691" s="29">
        <v>5</v>
      </c>
      <c r="G691" s="29"/>
    </row>
    <row r="692" spans="5:7" ht="15.6" x14ac:dyDescent="0.3">
      <c r="E692" s="28">
        <v>683</v>
      </c>
      <c r="F692" s="29">
        <v>9</v>
      </c>
      <c r="G692" s="29">
        <v>113</v>
      </c>
    </row>
    <row r="693" spans="5:7" ht="15.6" x14ac:dyDescent="0.3">
      <c r="E693" s="28">
        <v>684</v>
      </c>
      <c r="F693" s="29">
        <v>9</v>
      </c>
      <c r="G693" s="29">
        <v>88</v>
      </c>
    </row>
    <row r="694" spans="5:7" ht="15.6" x14ac:dyDescent="0.3">
      <c r="E694" s="28">
        <v>685</v>
      </c>
      <c r="F694" s="29">
        <v>6</v>
      </c>
      <c r="G694" s="29">
        <v>88</v>
      </c>
    </row>
    <row r="695" spans="5:7" ht="15.6" x14ac:dyDescent="0.3">
      <c r="E695" s="28">
        <v>686</v>
      </c>
      <c r="F695" s="29">
        <v>4</v>
      </c>
      <c r="G695" s="29">
        <v>69</v>
      </c>
    </row>
    <row r="696" spans="5:7" ht="15.6" x14ac:dyDescent="0.3">
      <c r="E696" s="28">
        <v>687</v>
      </c>
      <c r="F696" s="29">
        <v>9</v>
      </c>
      <c r="G696" s="29">
        <v>99</v>
      </c>
    </row>
    <row r="697" spans="5:7" ht="15.6" x14ac:dyDescent="0.3">
      <c r="E697" s="28">
        <v>688</v>
      </c>
      <c r="F697" s="29">
        <v>4</v>
      </c>
      <c r="G697" s="29">
        <v>93</v>
      </c>
    </row>
    <row r="698" spans="5:7" ht="15.6" x14ac:dyDescent="0.3">
      <c r="E698" s="28">
        <v>689</v>
      </c>
      <c r="F698" s="29">
        <v>9</v>
      </c>
      <c r="G698" s="29">
        <v>93</v>
      </c>
    </row>
    <row r="699" spans="5:7" ht="15.6" x14ac:dyDescent="0.3">
      <c r="E699" s="28">
        <v>690</v>
      </c>
      <c r="F699" s="29">
        <v>9</v>
      </c>
      <c r="G699" s="29">
        <v>97</v>
      </c>
    </row>
    <row r="700" spans="5:7" ht="15.6" x14ac:dyDescent="0.3">
      <c r="E700" s="28">
        <v>691</v>
      </c>
      <c r="F700" s="29">
        <v>2</v>
      </c>
      <c r="G700" s="29">
        <v>97</v>
      </c>
    </row>
    <row r="701" spans="5:7" ht="15.6" x14ac:dyDescent="0.3">
      <c r="E701" s="28">
        <v>692</v>
      </c>
      <c r="F701" s="29">
        <v>9</v>
      </c>
      <c r="G701" s="29">
        <v>90</v>
      </c>
    </row>
    <row r="702" spans="5:7" ht="15.6" x14ac:dyDescent="0.3">
      <c r="E702" s="28">
        <v>693</v>
      </c>
      <c r="F702" s="29">
        <v>9</v>
      </c>
      <c r="G702" s="29">
        <v>91</v>
      </c>
    </row>
    <row r="703" spans="5:7" ht="15.6" x14ac:dyDescent="0.3">
      <c r="E703" s="28">
        <v>694</v>
      </c>
      <c r="F703" s="29">
        <v>9</v>
      </c>
      <c r="G703" s="29">
        <v>104</v>
      </c>
    </row>
    <row r="704" spans="5:7" ht="15.6" x14ac:dyDescent="0.3">
      <c r="E704" s="28">
        <v>695</v>
      </c>
      <c r="F704" s="29">
        <v>6</v>
      </c>
      <c r="G704" s="29">
        <v>109</v>
      </c>
    </row>
    <row r="705" spans="5:7" ht="15.6" x14ac:dyDescent="0.3">
      <c r="E705" s="28">
        <v>696</v>
      </c>
      <c r="F705" s="29">
        <v>8</v>
      </c>
      <c r="G705" s="29">
        <v>88</v>
      </c>
    </row>
    <row r="706" spans="5:7" ht="15.6" x14ac:dyDescent="0.3">
      <c r="E706" s="28">
        <v>697</v>
      </c>
      <c r="F706" s="29">
        <v>6</v>
      </c>
      <c r="G706" s="29">
        <v>105</v>
      </c>
    </row>
    <row r="707" spans="5:7" ht="15.6" x14ac:dyDescent="0.3">
      <c r="E707" s="28">
        <v>698</v>
      </c>
      <c r="F707" s="29">
        <v>6</v>
      </c>
      <c r="G707" s="29">
        <v>106</v>
      </c>
    </row>
    <row r="708" spans="5:7" ht="15.6" x14ac:dyDescent="0.3">
      <c r="E708" s="28">
        <v>699</v>
      </c>
      <c r="F708" s="29">
        <v>3</v>
      </c>
      <c r="G708" s="29">
        <v>102</v>
      </c>
    </row>
    <row r="709" spans="5:7" ht="15.6" x14ac:dyDescent="0.3">
      <c r="E709" s="28">
        <v>700</v>
      </c>
      <c r="F709" s="29">
        <v>6</v>
      </c>
      <c r="G709" s="29">
        <v>77</v>
      </c>
    </row>
    <row r="710" spans="5:7" ht="15.6" x14ac:dyDescent="0.3">
      <c r="E710" s="28">
        <v>701</v>
      </c>
      <c r="F710" s="29">
        <v>7</v>
      </c>
      <c r="G710" s="29">
        <v>50</v>
      </c>
    </row>
  </sheetData>
  <sheetProtection sheet="1" objects="1" scenarios="1" selectLockedCells="1"/>
  <mergeCells count="2">
    <mergeCell ref="F8:G8"/>
    <mergeCell ref="E1:H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Transfer_btn">
          <controlPr defaultSize="0" autoLine="0" r:id="rId4">
            <anchor moveWithCells="1">
              <from>
                <xdr:col>8</xdr:col>
                <xdr:colOff>38100</xdr:colOff>
                <xdr:row>6</xdr:row>
                <xdr:rowOff>175260</xdr:rowOff>
              </from>
              <to>
                <xdr:col>10</xdr:col>
                <xdr:colOff>289560</xdr:colOff>
                <xdr:row>9</xdr:row>
                <xdr:rowOff>30480</xdr:rowOff>
              </to>
            </anchor>
          </controlPr>
        </control>
      </mc:Choice>
      <mc:Fallback>
        <control shapeId="3073" r:id="rId3" name="Transfer_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Tetrachoric Calculator</vt:lpstr>
      <vt:lpstr>Data Conversion</vt:lpstr>
      <vt:lpstr>Sample Data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Asus</cp:lastModifiedBy>
  <dcterms:created xsi:type="dcterms:W3CDTF">2012-09-07T05:00:05Z</dcterms:created>
  <dcterms:modified xsi:type="dcterms:W3CDTF">2022-07-25T04:14:28Z</dcterms:modified>
</cp:coreProperties>
</file>